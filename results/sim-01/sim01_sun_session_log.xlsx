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nat\Desktop\UCT\2026\EEE4022S\Repository\results\sim-01\"/>
    </mc:Choice>
  </mc:AlternateContent>
  <xr:revisionPtr revIDLastSave="0" documentId="13_ncr:1_{6600481A-3728-4255-A459-B8D475781D64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Log" sheetId="1" r:id="rId1"/>
    <sheet name="sun_sess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2" l="1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</calcChain>
</file>

<file path=xl/sharedStrings.xml><?xml version="1.0" encoding="utf-8"?>
<sst xmlns="http://schemas.openxmlformats.org/spreadsheetml/2006/main" count="34" uniqueCount="34">
  <si>
    <t>SIM-01 sun session log (car parked, charging)</t>
  </si>
  <si>
    <t>Fill the yellow cells. One row per minute for 30 min. Start the dashboard log at minute 0 and download log.csv at the end.</t>
  </si>
  <si>
    <t>Date</t>
  </si>
  <si>
    <t>Location</t>
  </si>
  <si>
    <t>Start time (clock)</t>
  </si>
  <si>
    <t>Sky conditions</t>
  </si>
  <si>
    <t>Panel orientation / tilt</t>
  </si>
  <si>
    <t>Tracker on or off</t>
  </si>
  <si>
    <t>MPPT set-point V_set (V) – panel voltage while charging</t>
  </si>
  <si>
    <t>Start pack voltage, rested (V)</t>
  </si>
  <si>
    <t>End pack voltage, rested (V)</t>
  </si>
  <si>
    <t>Irradiance meter (model)</t>
  </si>
  <si>
    <t>Temperature measured on (panel surface / air)</t>
  </si>
  <si>
    <t>Minute (t_min)</t>
  </si>
  <si>
    <t>Clock time</t>
  </si>
  <si>
    <t>Irradiance G (W/m²)</t>
  </si>
  <si>
    <t>Panel temperature T (°C)</t>
  </si>
  <si>
    <t>Panel voltage (V) – optional</t>
  </si>
  <si>
    <t>Panel current (A) – optional</t>
  </si>
  <si>
    <t>Notes (clouds, shade, tracker moved)</t>
  </si>
  <si>
    <t>t_min</t>
  </si>
  <si>
    <t>G_Wm2</t>
  </si>
  <si>
    <t>T_C</t>
  </si>
  <si>
    <t>Filled automatically from the Log sheet. Save this sheet as CSV: simulation\data\sun_session.csv</t>
  </si>
  <si>
    <t>27/10/2026</t>
  </si>
  <si>
    <t>Mowbray</t>
  </si>
  <si>
    <t xml:space="preserve">Clear </t>
  </si>
  <si>
    <t xml:space="preserve">Fixed facing sun </t>
  </si>
  <si>
    <t>Off</t>
  </si>
  <si>
    <t>RS PRO ISM 400</t>
  </si>
  <si>
    <t>Panel surface</t>
  </si>
  <si>
    <t>12.18 V</t>
  </si>
  <si>
    <t xml:space="preserve">MPPT V_set = 14.8 ;  </t>
  </si>
  <si>
    <t>12.27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</si>
</sst>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C5CAB"/>
        <bgColor rgb="FF3366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5" fillId="2" borderId="1" xfId="0" applyFont="1" applyFill="1" applyBorder="1"/>
    <xf numFmtId="0" fontId="6" fillId="0" borderId="0" xfId="0" applyFont="1"/>
    <xf numFmtId="20" fontId="0" fillId="2" borderId="1" xfId="0" applyNumberFormat="1" applyFill="1" applyBorder="1"/>
    <xf numFmtId="20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Normal="100" workbookViewId="0">
      <pane ySplit="17" topLeftCell="A109" activePane="bottomLeft" state="frozen"/>
      <selection pane="bottomLeft" activeCell="G11" sqref="G11"/>
    </sheetView>
  </sheetViews>
  <sheetFormatPr defaultColWidth="8.6640625" defaultRowHeight="14.25" x14ac:dyDescent="0.45"/>
  <cols>
    <col min="1" max="1" width="105.73046875" bestFit="1" customWidth="1"/>
    <col min="2" max="2" width="10.53125" bestFit="1" customWidth="1"/>
    <col min="3" max="3" width="16" customWidth="1"/>
    <col min="4" max="4" width="18" customWidth="1"/>
    <col min="5" max="6" width="16" customWidth="1"/>
    <col min="7" max="7" width="34" customWidth="1"/>
  </cols>
  <sheetData>
    <row r="1" spans="1:6" ht="17.649999999999999" x14ac:dyDescent="0.5">
      <c r="A1" s="2" t="s">
        <v>0</v>
      </c>
    </row>
    <row r="2" spans="1:6" x14ac:dyDescent="0.45">
      <c r="A2" s="3" t="s">
        <v>1</v>
      </c>
    </row>
    <row r="4" spans="1:6" x14ac:dyDescent="0.45">
      <c r="A4" s="4" t="s">
        <v>2</v>
      </c>
      <c r="C4" s="1" t="s">
        <v>24</v>
      </c>
      <c r="D4" s="1"/>
      <c r="E4" s="1"/>
      <c r="F4" s="1"/>
    </row>
    <row r="5" spans="1:6" x14ac:dyDescent="0.45">
      <c r="A5" s="4" t="s">
        <v>3</v>
      </c>
      <c r="C5" s="1" t="s">
        <v>25</v>
      </c>
      <c r="D5" s="1"/>
      <c r="E5" s="1"/>
      <c r="F5" s="1"/>
    </row>
    <row r="6" spans="1:6" x14ac:dyDescent="0.45">
      <c r="A6" s="4" t="s">
        <v>4</v>
      </c>
      <c r="C6" s="9">
        <v>0.4375</v>
      </c>
      <c r="D6" s="1"/>
      <c r="E6" s="1"/>
      <c r="F6" s="1"/>
    </row>
    <row r="7" spans="1:6" x14ac:dyDescent="0.45">
      <c r="A7" s="4" t="s">
        <v>5</v>
      </c>
      <c r="C7" s="1" t="s">
        <v>26</v>
      </c>
      <c r="D7" s="1"/>
      <c r="E7" s="1"/>
      <c r="F7" s="1"/>
    </row>
    <row r="8" spans="1:6" x14ac:dyDescent="0.45">
      <c r="A8" s="4" t="s">
        <v>6</v>
      </c>
      <c r="C8" s="1" t="s">
        <v>27</v>
      </c>
      <c r="D8" s="1"/>
      <c r="E8" s="1"/>
      <c r="F8" s="1"/>
    </row>
    <row r="9" spans="1:6" x14ac:dyDescent="0.45">
      <c r="A9" s="4" t="s">
        <v>7</v>
      </c>
      <c r="C9" s="1" t="s">
        <v>28</v>
      </c>
      <c r="D9" s="1"/>
      <c r="E9" s="1"/>
      <c r="F9" s="1"/>
    </row>
    <row r="10" spans="1:6" x14ac:dyDescent="0.45">
      <c r="A10" s="4" t="s">
        <v>8</v>
      </c>
      <c r="C10" s="1" t="s">
        <v>32</v>
      </c>
      <c r="D10" s="1"/>
      <c r="E10" s="1"/>
      <c r="F10" s="1"/>
    </row>
    <row r="11" spans="1:6" x14ac:dyDescent="0.45">
      <c r="A11" s="4" t="s">
        <v>9</v>
      </c>
      <c r="C11" s="1" t="s">
        <v>31</v>
      </c>
      <c r="D11" s="1"/>
      <c r="E11" s="1"/>
      <c r="F11" s="1"/>
    </row>
    <row r="12" spans="1:6" x14ac:dyDescent="0.45">
      <c r="A12" s="4" t="s">
        <v>10</v>
      </c>
      <c r="C12" s="1" t="s">
        <v>33</v>
      </c>
      <c r="D12" s="1"/>
      <c r="E12" s="1"/>
      <c r="F12" s="1"/>
    </row>
    <row r="13" spans="1:6" x14ac:dyDescent="0.45">
      <c r="A13" s="4" t="s">
        <v>11</v>
      </c>
      <c r="C13" s="1" t="s">
        <v>29</v>
      </c>
      <c r="D13" s="1"/>
      <c r="E13" s="1"/>
      <c r="F13" s="1"/>
    </row>
    <row r="14" spans="1:6" x14ac:dyDescent="0.45">
      <c r="A14" s="4" t="s">
        <v>12</v>
      </c>
      <c r="C14" s="1" t="s">
        <v>30</v>
      </c>
      <c r="D14" s="1"/>
      <c r="E14" s="1"/>
      <c r="F14" s="1"/>
    </row>
    <row r="17" spans="1:7" ht="45" customHeight="1" x14ac:dyDescent="0.45">
      <c r="A17" s="5" t="s">
        <v>13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19</v>
      </c>
    </row>
    <row r="18" spans="1:7" x14ac:dyDescent="0.45">
      <c r="A18" s="6">
        <v>0</v>
      </c>
      <c r="B18" s="10">
        <v>0.44236111111111109</v>
      </c>
      <c r="C18" s="7">
        <v>337.5</v>
      </c>
      <c r="D18" s="7">
        <v>22.5</v>
      </c>
      <c r="E18" s="7">
        <v>17.059999999999999</v>
      </c>
      <c r="F18" s="7"/>
      <c r="G18" s="7"/>
    </row>
    <row r="19" spans="1:7" x14ac:dyDescent="0.45">
      <c r="A19" s="6">
        <v>1</v>
      </c>
      <c r="B19" s="10">
        <v>0.44305555555555554</v>
      </c>
      <c r="C19" s="7">
        <v>332.9</v>
      </c>
      <c r="D19" s="7">
        <v>34.9</v>
      </c>
      <c r="E19" s="7">
        <v>15</v>
      </c>
      <c r="F19" s="7"/>
      <c r="G19" s="7"/>
    </row>
    <row r="20" spans="1:7" x14ac:dyDescent="0.45">
      <c r="A20" s="6">
        <v>2</v>
      </c>
      <c r="B20" s="10">
        <v>0.44374999999999998</v>
      </c>
      <c r="C20" s="7">
        <v>339.5</v>
      </c>
      <c r="D20" s="7">
        <v>39</v>
      </c>
      <c r="E20" s="7">
        <v>15.03</v>
      </c>
      <c r="F20" s="7"/>
      <c r="G20" s="7"/>
    </row>
    <row r="21" spans="1:7" x14ac:dyDescent="0.45">
      <c r="A21" s="6">
        <v>3</v>
      </c>
      <c r="B21" s="10">
        <v>0.44444444444444442</v>
      </c>
      <c r="C21" s="7">
        <v>339.4</v>
      </c>
      <c r="D21" s="7">
        <v>41.4</v>
      </c>
      <c r="E21" s="7">
        <v>15.02</v>
      </c>
      <c r="F21" s="7"/>
      <c r="G21" s="7"/>
    </row>
    <row r="22" spans="1:7" x14ac:dyDescent="0.45">
      <c r="A22" s="6">
        <v>4</v>
      </c>
      <c r="B22" s="10">
        <v>0.44513888888888886</v>
      </c>
      <c r="C22" s="7">
        <v>344.1</v>
      </c>
      <c r="D22" s="7">
        <v>45</v>
      </c>
      <c r="E22" s="7">
        <v>18.309999999999999</v>
      </c>
      <c r="F22" s="7"/>
      <c r="G22" s="7"/>
    </row>
    <row r="23" spans="1:7" x14ac:dyDescent="0.45">
      <c r="A23" s="6">
        <v>5</v>
      </c>
      <c r="B23" s="10">
        <v>0.44583333333333336</v>
      </c>
      <c r="C23" s="7">
        <v>342.6</v>
      </c>
      <c r="D23" s="7">
        <v>46.2</v>
      </c>
      <c r="E23" s="7">
        <v>14.98</v>
      </c>
      <c r="F23" s="7"/>
      <c r="G23" s="7"/>
    </row>
    <row r="24" spans="1:7" x14ac:dyDescent="0.45">
      <c r="A24" s="6">
        <v>6</v>
      </c>
      <c r="B24" s="10">
        <v>0.4465277777777778</v>
      </c>
      <c r="C24" s="7">
        <v>346.8</v>
      </c>
      <c r="D24" s="7">
        <v>47.1</v>
      </c>
      <c r="E24" s="7">
        <v>14.96</v>
      </c>
      <c r="F24" s="7"/>
      <c r="G24" s="7"/>
    </row>
    <row r="25" spans="1:7" x14ac:dyDescent="0.45">
      <c r="A25" s="6">
        <v>7</v>
      </c>
      <c r="B25" s="10">
        <v>0.44722222222222224</v>
      </c>
      <c r="C25" s="7">
        <v>346.4</v>
      </c>
      <c r="D25" s="7">
        <v>48.3</v>
      </c>
      <c r="E25" s="7">
        <v>14.93</v>
      </c>
      <c r="F25" s="7"/>
      <c r="G25" s="7"/>
    </row>
    <row r="26" spans="1:7" x14ac:dyDescent="0.45">
      <c r="A26" s="6">
        <v>8</v>
      </c>
      <c r="B26" s="10">
        <v>0.44791666666666669</v>
      </c>
      <c r="C26" s="7">
        <v>345.5</v>
      </c>
      <c r="D26" s="7">
        <v>48.8</v>
      </c>
      <c r="E26" s="7">
        <v>14.91</v>
      </c>
      <c r="F26" s="7"/>
      <c r="G26" s="7"/>
    </row>
    <row r="27" spans="1:7" x14ac:dyDescent="0.45">
      <c r="A27" s="6">
        <v>9</v>
      </c>
      <c r="B27" s="10">
        <v>0.44861111111111113</v>
      </c>
      <c r="C27" s="7">
        <v>343.7</v>
      </c>
      <c r="D27" s="7">
        <v>48.3</v>
      </c>
      <c r="E27" s="7">
        <v>14.91</v>
      </c>
      <c r="F27" s="7"/>
      <c r="G27" s="7"/>
    </row>
    <row r="28" spans="1:7" x14ac:dyDescent="0.45">
      <c r="A28" s="6">
        <v>10</v>
      </c>
      <c r="B28" s="10">
        <v>0.44930555555555557</v>
      </c>
      <c r="C28" s="7">
        <v>343.2</v>
      </c>
      <c r="D28" s="7">
        <v>47.8</v>
      </c>
      <c r="E28" s="7">
        <v>18.02</v>
      </c>
      <c r="F28" s="7"/>
      <c r="G28" s="7"/>
    </row>
    <row r="29" spans="1:7" x14ac:dyDescent="0.45">
      <c r="A29" s="6">
        <v>11</v>
      </c>
      <c r="B29" s="10">
        <v>0.45</v>
      </c>
      <c r="C29" s="7">
        <v>338.2</v>
      </c>
      <c r="D29" s="7">
        <v>46</v>
      </c>
      <c r="E29" s="7">
        <v>18.03</v>
      </c>
      <c r="F29" s="7"/>
      <c r="G29" s="7"/>
    </row>
    <row r="30" spans="1:7" x14ac:dyDescent="0.45">
      <c r="A30" s="6">
        <v>12</v>
      </c>
      <c r="B30" s="10">
        <v>0.45069444444444445</v>
      </c>
      <c r="C30" s="7">
        <v>338.4</v>
      </c>
      <c r="D30" s="7">
        <v>47.1</v>
      </c>
      <c r="E30" s="7">
        <v>15</v>
      </c>
      <c r="F30" s="7"/>
      <c r="G30" s="7"/>
    </row>
    <row r="31" spans="1:7" x14ac:dyDescent="0.45">
      <c r="A31" s="6">
        <v>13</v>
      </c>
      <c r="B31" s="10">
        <v>0.4513888888888889</v>
      </c>
      <c r="C31" s="7">
        <v>343.6</v>
      </c>
      <c r="D31" s="7">
        <v>45.6</v>
      </c>
      <c r="E31" s="7">
        <v>14.99</v>
      </c>
      <c r="F31" s="7"/>
      <c r="G31" s="7"/>
    </row>
    <row r="32" spans="1:7" x14ac:dyDescent="0.45">
      <c r="A32" s="6">
        <v>14</v>
      </c>
      <c r="B32" s="10">
        <v>0.45208333333333334</v>
      </c>
      <c r="C32" s="7">
        <v>340.9</v>
      </c>
      <c r="D32" s="7">
        <v>45.4</v>
      </c>
      <c r="E32" s="7">
        <v>18.77</v>
      </c>
      <c r="F32" s="7"/>
      <c r="G32" s="7"/>
    </row>
    <row r="33" spans="1:7" x14ac:dyDescent="0.45">
      <c r="A33" s="6">
        <v>15</v>
      </c>
      <c r="B33" s="10">
        <v>0.45277777777777778</v>
      </c>
      <c r="C33" s="7">
        <v>343.4</v>
      </c>
      <c r="D33" s="7">
        <v>44</v>
      </c>
      <c r="E33" s="7">
        <v>18.5</v>
      </c>
      <c r="F33" s="7"/>
      <c r="G33" s="7"/>
    </row>
    <row r="34" spans="1:7" x14ac:dyDescent="0.45">
      <c r="A34" s="6">
        <v>16</v>
      </c>
      <c r="B34" s="10">
        <v>0.45347222222222222</v>
      </c>
      <c r="C34" s="7">
        <v>333.8</v>
      </c>
      <c r="D34" s="7">
        <v>42</v>
      </c>
      <c r="E34" s="7">
        <v>18.72</v>
      </c>
      <c r="F34" s="7"/>
      <c r="G34" s="7"/>
    </row>
    <row r="35" spans="1:7" x14ac:dyDescent="0.45">
      <c r="A35" s="6">
        <v>17</v>
      </c>
      <c r="B35" s="10">
        <v>0.45416666666666666</v>
      </c>
      <c r="C35" s="7">
        <v>343</v>
      </c>
      <c r="D35" s="7">
        <v>41.6</v>
      </c>
      <c r="E35" s="7">
        <v>18.57</v>
      </c>
      <c r="F35" s="7"/>
      <c r="G35" s="7"/>
    </row>
    <row r="36" spans="1:7" x14ac:dyDescent="0.45">
      <c r="A36" s="6">
        <v>18</v>
      </c>
      <c r="B36" s="10">
        <v>0.4548611111111111</v>
      </c>
      <c r="C36" s="7">
        <v>336.7</v>
      </c>
      <c r="D36" s="7">
        <v>39</v>
      </c>
      <c r="E36" s="7">
        <v>18.52</v>
      </c>
      <c r="F36" s="7"/>
      <c r="G36" s="7"/>
    </row>
    <row r="37" spans="1:7" x14ac:dyDescent="0.45">
      <c r="A37" s="6">
        <v>19</v>
      </c>
      <c r="B37" s="10">
        <v>0.45555555555555555</v>
      </c>
      <c r="C37" s="7">
        <v>326.10000000000002</v>
      </c>
      <c r="D37" s="7">
        <v>38.299999999999997</v>
      </c>
      <c r="E37" s="7">
        <v>14.87</v>
      </c>
      <c r="F37" s="7"/>
      <c r="G37" s="7"/>
    </row>
    <row r="38" spans="1:7" x14ac:dyDescent="0.45">
      <c r="A38" s="6">
        <v>20</v>
      </c>
      <c r="B38" s="10">
        <v>0.45624999999999999</v>
      </c>
      <c r="C38" s="7">
        <v>339.6</v>
      </c>
      <c r="D38" s="7">
        <v>39.700000000000003</v>
      </c>
      <c r="E38" s="7">
        <v>14.82</v>
      </c>
      <c r="F38" s="7"/>
      <c r="G38" s="7"/>
    </row>
    <row r="39" spans="1:7" x14ac:dyDescent="0.45">
      <c r="A39" s="6">
        <v>21</v>
      </c>
      <c r="B39" s="10">
        <v>0.45694444444444443</v>
      </c>
      <c r="C39" s="7">
        <v>340.1</v>
      </c>
      <c r="D39" s="7">
        <v>41.1</v>
      </c>
      <c r="E39" s="7">
        <v>18.510000000000002</v>
      </c>
      <c r="F39" s="7"/>
      <c r="G39" s="7"/>
    </row>
    <row r="40" spans="1:7" x14ac:dyDescent="0.45">
      <c r="A40" s="6">
        <v>22</v>
      </c>
      <c r="B40" s="10">
        <v>0.45763888888888887</v>
      </c>
      <c r="C40" s="7">
        <v>341.8</v>
      </c>
      <c r="D40" s="7">
        <v>40.4</v>
      </c>
      <c r="E40" s="7">
        <v>14.84</v>
      </c>
      <c r="F40" s="7"/>
      <c r="G40" s="7"/>
    </row>
    <row r="41" spans="1:7" x14ac:dyDescent="0.45">
      <c r="A41" s="6">
        <v>23</v>
      </c>
      <c r="B41" s="10">
        <v>0.45833333333333331</v>
      </c>
      <c r="C41" s="7">
        <v>332.9</v>
      </c>
      <c r="D41" s="7">
        <v>41.1</v>
      </c>
      <c r="E41" s="7">
        <v>14.64</v>
      </c>
      <c r="F41" s="7"/>
      <c r="G41" s="7"/>
    </row>
    <row r="42" spans="1:7" x14ac:dyDescent="0.45">
      <c r="A42" s="6">
        <v>24</v>
      </c>
      <c r="B42" s="10">
        <v>0.45902777777777776</v>
      </c>
      <c r="C42" s="7">
        <v>345.9</v>
      </c>
      <c r="D42" s="7">
        <v>40.1</v>
      </c>
      <c r="E42" s="7">
        <v>14.81</v>
      </c>
      <c r="F42" s="7"/>
      <c r="G42" s="7"/>
    </row>
    <row r="43" spans="1:7" x14ac:dyDescent="0.45">
      <c r="A43" s="6">
        <v>25</v>
      </c>
      <c r="B43" s="10">
        <v>0.4597222222222222</v>
      </c>
      <c r="C43" s="7">
        <v>342.2</v>
      </c>
      <c r="D43" s="7">
        <v>42</v>
      </c>
      <c r="E43" s="7">
        <v>14.79</v>
      </c>
      <c r="F43" s="7"/>
      <c r="G43" s="7"/>
    </row>
    <row r="44" spans="1:7" x14ac:dyDescent="0.45">
      <c r="A44" s="6">
        <v>26</v>
      </c>
      <c r="B44" s="10">
        <v>0.46041666666666664</v>
      </c>
      <c r="C44" s="7">
        <v>341.1</v>
      </c>
      <c r="D44" s="7">
        <v>44.3</v>
      </c>
      <c r="E44" s="7">
        <v>14.75</v>
      </c>
      <c r="F44" s="7"/>
      <c r="G44" s="7"/>
    </row>
    <row r="45" spans="1:7" x14ac:dyDescent="0.45">
      <c r="A45" s="6">
        <v>27</v>
      </c>
      <c r="B45" s="10">
        <v>0.46111111111111114</v>
      </c>
      <c r="C45" s="7">
        <v>343.2</v>
      </c>
      <c r="D45" s="7">
        <v>43.3</v>
      </c>
      <c r="E45" s="7">
        <v>14.76</v>
      </c>
      <c r="F45" s="7"/>
      <c r="G45" s="7"/>
    </row>
    <row r="46" spans="1:7" x14ac:dyDescent="0.45">
      <c r="A46" s="6">
        <v>28</v>
      </c>
      <c r="B46" s="10">
        <v>0.46180555555555558</v>
      </c>
      <c r="C46" s="7">
        <v>331.1</v>
      </c>
      <c r="D46" s="7">
        <v>45</v>
      </c>
      <c r="E46" s="7">
        <v>14.73</v>
      </c>
      <c r="F46" s="7"/>
      <c r="G46" s="7"/>
    </row>
    <row r="47" spans="1:7" x14ac:dyDescent="0.45">
      <c r="A47" s="6">
        <v>29</v>
      </c>
      <c r="B47" s="10">
        <v>0.46250000000000002</v>
      </c>
      <c r="C47" s="7">
        <v>339.4</v>
      </c>
      <c r="D47" s="7">
        <v>46.1</v>
      </c>
      <c r="E47" s="7">
        <v>14.69</v>
      </c>
      <c r="F47" s="7"/>
      <c r="G47" s="7"/>
    </row>
    <row r="48" spans="1:7" x14ac:dyDescent="0.45">
      <c r="A48" s="6">
        <v>30</v>
      </c>
      <c r="B48" s="10">
        <v>0.46319444444444446</v>
      </c>
      <c r="C48" s="7">
        <v>335.2</v>
      </c>
      <c r="D48" s="7">
        <v>44.7</v>
      </c>
      <c r="E48" s="7">
        <v>14.77</v>
      </c>
      <c r="F48" s="7"/>
      <c r="G48" s="7"/>
    </row>
  </sheetData>
  <mergeCells count="11">
    <mergeCell ref="C14:F14"/>
    <mergeCell ref="C9:F9"/>
    <mergeCell ref="C10:F10"/>
    <mergeCell ref="C11:F11"/>
    <mergeCell ref="C12:F12"/>
    <mergeCell ref="C13:F13"/>
    <mergeCell ref="C4:F4"/>
    <mergeCell ref="C5:F5"/>
    <mergeCell ref="C6:F6"/>
    <mergeCell ref="C7:F7"/>
    <mergeCell ref="C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zoomScaleNormal="100" workbookViewId="0"/>
  </sheetViews>
  <sheetFormatPr defaultColWidth="8.6640625" defaultRowHeight="14.25" x14ac:dyDescent="0.45"/>
  <sheetData>
    <row r="1" spans="1:5" x14ac:dyDescent="0.45">
      <c r="A1" s="4" t="s">
        <v>20</v>
      </c>
      <c r="B1" s="4" t="s">
        <v>21</v>
      </c>
      <c r="C1" s="4" t="s">
        <v>22</v>
      </c>
      <c r="E1" s="8" t="s">
        <v>23</v>
      </c>
    </row>
    <row r="2" spans="1:5" x14ac:dyDescent="0.45">
      <c r="A2">
        <f>Log!A18</f>
        <v>0</v>
      </c>
      <c r="B2">
        <f>IF(Log!C18="","",Log!C18)</f>
        <v>337.5</v>
      </c>
      <c r="C2">
        <f>IF(Log!D18="","",Log!D18)</f>
        <v>22.5</v>
      </c>
    </row>
    <row r="3" spans="1:5" x14ac:dyDescent="0.45">
      <c r="A3">
        <f>Log!A19</f>
        <v>1</v>
      </c>
      <c r="B3">
        <f>IF(Log!C19="","",Log!C19)</f>
        <v>332.9</v>
      </c>
      <c r="C3">
        <f>IF(Log!D19="","",Log!D19)</f>
        <v>34.9</v>
      </c>
    </row>
    <row r="4" spans="1:5" x14ac:dyDescent="0.45">
      <c r="A4">
        <f>Log!A20</f>
        <v>2</v>
      </c>
      <c r="B4">
        <f>IF(Log!C20="","",Log!C20)</f>
        <v>339.5</v>
      </c>
      <c r="C4">
        <f>IF(Log!D20="","",Log!D20)</f>
        <v>39</v>
      </c>
    </row>
    <row r="5" spans="1:5" x14ac:dyDescent="0.45">
      <c r="A5">
        <f>Log!A21</f>
        <v>3</v>
      </c>
      <c r="B5">
        <f>IF(Log!C21="","",Log!C21)</f>
        <v>339.4</v>
      </c>
      <c r="C5">
        <f>IF(Log!D21="","",Log!D21)</f>
        <v>41.4</v>
      </c>
    </row>
    <row r="6" spans="1:5" x14ac:dyDescent="0.45">
      <c r="A6">
        <f>Log!A22</f>
        <v>4</v>
      </c>
      <c r="B6">
        <f>IF(Log!C22="","",Log!C22)</f>
        <v>344.1</v>
      </c>
      <c r="C6">
        <f>IF(Log!D22="","",Log!D22)</f>
        <v>45</v>
      </c>
    </row>
    <row r="7" spans="1:5" x14ac:dyDescent="0.45">
      <c r="A7">
        <f>Log!A23</f>
        <v>5</v>
      </c>
      <c r="B7">
        <f>IF(Log!C23="","",Log!C23)</f>
        <v>342.6</v>
      </c>
      <c r="C7">
        <f>IF(Log!D23="","",Log!D23)</f>
        <v>46.2</v>
      </c>
    </row>
    <row r="8" spans="1:5" x14ac:dyDescent="0.45">
      <c r="A8">
        <f>Log!A24</f>
        <v>6</v>
      </c>
      <c r="B8">
        <f>IF(Log!C24="","",Log!C24)</f>
        <v>346.8</v>
      </c>
      <c r="C8">
        <f>IF(Log!D24="","",Log!D24)</f>
        <v>47.1</v>
      </c>
    </row>
    <row r="9" spans="1:5" x14ac:dyDescent="0.45">
      <c r="A9">
        <f>Log!A25</f>
        <v>7</v>
      </c>
      <c r="B9">
        <f>IF(Log!C25="","",Log!C25)</f>
        <v>346.4</v>
      </c>
      <c r="C9">
        <f>IF(Log!D25="","",Log!D25)</f>
        <v>48.3</v>
      </c>
    </row>
    <row r="10" spans="1:5" x14ac:dyDescent="0.45">
      <c r="A10">
        <f>Log!A26</f>
        <v>8</v>
      </c>
      <c r="B10">
        <f>IF(Log!C26="","",Log!C26)</f>
        <v>345.5</v>
      </c>
      <c r="C10">
        <f>IF(Log!D26="","",Log!D26)</f>
        <v>48.8</v>
      </c>
    </row>
    <row r="11" spans="1:5" x14ac:dyDescent="0.45">
      <c r="A11">
        <f>Log!A27</f>
        <v>9</v>
      </c>
      <c r="B11">
        <f>IF(Log!C27="","",Log!C27)</f>
        <v>343.7</v>
      </c>
      <c r="C11">
        <f>IF(Log!D27="","",Log!D27)</f>
        <v>48.3</v>
      </c>
    </row>
    <row r="12" spans="1:5" x14ac:dyDescent="0.45">
      <c r="A12">
        <f>Log!A28</f>
        <v>10</v>
      </c>
      <c r="B12">
        <f>IF(Log!C28="","",Log!C28)</f>
        <v>343.2</v>
      </c>
      <c r="C12">
        <f>IF(Log!D28="","",Log!D28)</f>
        <v>47.8</v>
      </c>
    </row>
    <row r="13" spans="1:5" x14ac:dyDescent="0.45">
      <c r="A13">
        <f>Log!A29</f>
        <v>11</v>
      </c>
      <c r="B13">
        <f>IF(Log!C29="","",Log!C29)</f>
        <v>338.2</v>
      </c>
      <c r="C13">
        <f>IF(Log!D29="","",Log!D29)</f>
        <v>46</v>
      </c>
    </row>
    <row r="14" spans="1:5" x14ac:dyDescent="0.45">
      <c r="A14">
        <f>Log!A30</f>
        <v>12</v>
      </c>
      <c r="B14">
        <f>IF(Log!C30="","",Log!C30)</f>
        <v>338.4</v>
      </c>
      <c r="C14">
        <f>IF(Log!D30="","",Log!D30)</f>
        <v>47.1</v>
      </c>
    </row>
    <row r="15" spans="1:5" x14ac:dyDescent="0.45">
      <c r="A15">
        <f>Log!A31</f>
        <v>13</v>
      </c>
      <c r="B15">
        <f>IF(Log!C31="","",Log!C31)</f>
        <v>343.6</v>
      </c>
      <c r="C15">
        <f>IF(Log!D31="","",Log!D31)</f>
        <v>45.6</v>
      </c>
    </row>
    <row r="16" spans="1:5" x14ac:dyDescent="0.45">
      <c r="A16">
        <f>Log!A32</f>
        <v>14</v>
      </c>
      <c r="B16">
        <f>IF(Log!C32="","",Log!C32)</f>
        <v>340.9</v>
      </c>
      <c r="C16">
        <f>IF(Log!D32="","",Log!D32)</f>
        <v>45.4</v>
      </c>
    </row>
    <row r="17" spans="1:3" x14ac:dyDescent="0.45">
      <c r="A17">
        <f>Log!A33</f>
        <v>15</v>
      </c>
      <c r="B17">
        <f>IF(Log!C33="","",Log!C33)</f>
        <v>343.4</v>
      </c>
      <c r="C17">
        <f>IF(Log!D33="","",Log!D33)</f>
        <v>44</v>
      </c>
    </row>
    <row r="18" spans="1:3" x14ac:dyDescent="0.45">
      <c r="A18">
        <f>Log!A34</f>
        <v>16</v>
      </c>
      <c r="B18">
        <f>IF(Log!C34="","",Log!C34)</f>
        <v>333.8</v>
      </c>
      <c r="C18">
        <f>IF(Log!D34="","",Log!D34)</f>
        <v>42</v>
      </c>
    </row>
    <row r="19" spans="1:3" x14ac:dyDescent="0.45">
      <c r="A19">
        <f>Log!A35</f>
        <v>17</v>
      </c>
      <c r="B19">
        <f>IF(Log!C35="","",Log!C35)</f>
        <v>343</v>
      </c>
      <c r="C19">
        <f>IF(Log!D35="","",Log!D35)</f>
        <v>41.6</v>
      </c>
    </row>
    <row r="20" spans="1:3" x14ac:dyDescent="0.45">
      <c r="A20">
        <f>Log!A36</f>
        <v>18</v>
      </c>
      <c r="B20">
        <f>IF(Log!C36="","",Log!C36)</f>
        <v>336.7</v>
      </c>
      <c r="C20">
        <f>IF(Log!D36="","",Log!D36)</f>
        <v>39</v>
      </c>
    </row>
    <row r="21" spans="1:3" x14ac:dyDescent="0.45">
      <c r="A21">
        <f>Log!A37</f>
        <v>19</v>
      </c>
      <c r="B21">
        <f>IF(Log!C37="","",Log!C37)</f>
        <v>326.10000000000002</v>
      </c>
      <c r="C21">
        <f>IF(Log!D37="","",Log!D37)</f>
        <v>38.299999999999997</v>
      </c>
    </row>
    <row r="22" spans="1:3" x14ac:dyDescent="0.45">
      <c r="A22">
        <f>Log!A38</f>
        <v>20</v>
      </c>
      <c r="B22">
        <f>IF(Log!C38="","",Log!C38)</f>
        <v>339.6</v>
      </c>
      <c r="C22">
        <f>IF(Log!D38="","",Log!D38)</f>
        <v>39.700000000000003</v>
      </c>
    </row>
    <row r="23" spans="1:3" x14ac:dyDescent="0.45">
      <c r="A23">
        <f>Log!A39</f>
        <v>21</v>
      </c>
      <c r="B23">
        <f>IF(Log!C39="","",Log!C39)</f>
        <v>340.1</v>
      </c>
      <c r="C23">
        <f>IF(Log!D39="","",Log!D39)</f>
        <v>41.1</v>
      </c>
    </row>
    <row r="24" spans="1:3" x14ac:dyDescent="0.45">
      <c r="A24">
        <f>Log!A40</f>
        <v>22</v>
      </c>
      <c r="B24">
        <f>IF(Log!C40="","",Log!C40)</f>
        <v>341.8</v>
      </c>
      <c r="C24">
        <f>IF(Log!D40="","",Log!D40)</f>
        <v>40.4</v>
      </c>
    </row>
    <row r="25" spans="1:3" x14ac:dyDescent="0.45">
      <c r="A25">
        <f>Log!A41</f>
        <v>23</v>
      </c>
      <c r="B25">
        <f>IF(Log!C41="","",Log!C41)</f>
        <v>332.9</v>
      </c>
      <c r="C25">
        <f>IF(Log!D41="","",Log!D41)</f>
        <v>41.1</v>
      </c>
    </row>
    <row r="26" spans="1:3" x14ac:dyDescent="0.45">
      <c r="A26">
        <f>Log!A42</f>
        <v>24</v>
      </c>
      <c r="B26">
        <f>IF(Log!C42="","",Log!C42)</f>
        <v>345.9</v>
      </c>
      <c r="C26">
        <f>IF(Log!D42="","",Log!D42)</f>
        <v>40.1</v>
      </c>
    </row>
    <row r="27" spans="1:3" x14ac:dyDescent="0.45">
      <c r="A27">
        <f>Log!A43</f>
        <v>25</v>
      </c>
      <c r="B27">
        <f>IF(Log!C43="","",Log!C43)</f>
        <v>342.2</v>
      </c>
      <c r="C27">
        <f>IF(Log!D43="","",Log!D43)</f>
        <v>42</v>
      </c>
    </row>
    <row r="28" spans="1:3" x14ac:dyDescent="0.45">
      <c r="A28">
        <f>Log!A44</f>
        <v>26</v>
      </c>
      <c r="B28">
        <f>IF(Log!C44="","",Log!C44)</f>
        <v>341.1</v>
      </c>
      <c r="C28">
        <f>IF(Log!D44="","",Log!D44)</f>
        <v>44.3</v>
      </c>
    </row>
    <row r="29" spans="1:3" x14ac:dyDescent="0.45">
      <c r="A29">
        <f>Log!A45</f>
        <v>27</v>
      </c>
      <c r="B29">
        <f>IF(Log!C45="","",Log!C45)</f>
        <v>343.2</v>
      </c>
      <c r="C29">
        <f>IF(Log!D45="","",Log!D45)</f>
        <v>43.3</v>
      </c>
    </row>
    <row r="30" spans="1:3" x14ac:dyDescent="0.45">
      <c r="A30">
        <f>Log!A46</f>
        <v>28</v>
      </c>
      <c r="B30">
        <f>IF(Log!C46="","",Log!C46)</f>
        <v>331.1</v>
      </c>
      <c r="C30">
        <f>IF(Log!D46="","",Log!D46)</f>
        <v>45</v>
      </c>
    </row>
    <row r="31" spans="1:3" x14ac:dyDescent="0.45">
      <c r="A31">
        <f>Log!A47</f>
        <v>29</v>
      </c>
      <c r="B31">
        <f>IF(Log!C47="","",Log!C47)</f>
        <v>339.4</v>
      </c>
      <c r="C31">
        <f>IF(Log!D47="","",Log!D47)</f>
        <v>46.1</v>
      </c>
    </row>
    <row r="32" spans="1:3" x14ac:dyDescent="0.45">
      <c r="A32">
        <f>Log!A48</f>
        <v>30</v>
      </c>
      <c r="B32">
        <f>IF(Log!C48="","",Log!C48)</f>
        <v>335.2</v>
      </c>
      <c r="C32">
        <f>IF(Log!D48="","",Log!D48)</f>
        <v>44.7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sun_session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Tirkaso</cp:lastModifiedBy>
  <cp:revision>0</cp:revision>
  <dcterms:created xsi:type="dcterms:W3CDTF">2026-10-27T07:54:33Z</dcterms:created>
  <dcterms:modified xsi:type="dcterms:W3CDTF">2026-10-27T10:06:38Z</dcterms:modified>
  <dc:language>en-US</dc:language>
</cp:coreProperties>
</file>