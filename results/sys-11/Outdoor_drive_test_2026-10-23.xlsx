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uns" sheetId="2" state="visible" r:id="rId4"/>
    <sheet name="Charging" sheetId="3" state="visible" r:id="rId5"/>
    <sheet name="Data" sheetId="4" state="visible" r:id="rId6"/>
    <sheet name="Profiles" sheetId="5" state="visible" r:id="rId7"/>
    <sheet name="Charts - Overview" sheetId="6" state="visible" r:id="rId8"/>
    <sheet name="Charts - Sun" sheetId="7" state="visible" r:id="rId9"/>
    <sheet name="Charts - Shade" sheetId="8" state="visible" r:id="rId10"/>
    <sheet name="Charts - Load vs PV" sheetId="9" state="visible" r:id="rId11"/>
    <sheet name="Charts - Chargin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Run boundaries found in Python: a run starts when Drive output switches on with the car at rest (&lt; 0.03 m/s) and ends when the speed is back below 0.02 m/s.</t>
        </r>
      </text>
    </comment>
    <comment ref="H1" authorId="0">
      <text>
        <r>
          <rPr>
            <sz val="10"/>
            <rFont val="Arial"/>
            <family val="2"/>
          </rPr>
          <t xml:space="preserve">Computed in Python from the 5 Hz log: first sample at or above 90 % of the run's peak speed, minus the start time. Hardcoded value.</t>
        </r>
      </text>
    </comment>
    <comment ref="T1" authorId="0">
      <text>
        <r>
          <rPr>
            <sz val="10"/>
            <rFont val="Arial"/>
            <family val="2"/>
          </rPr>
          <t xml:space="preserve">1 - battery energy / load energy. Above 100 % = the battery was still charging while the car drove.</t>
        </r>
      </text>
    </comment>
    <comment ref="U1" authorId="0">
      <text>
        <r>
          <rPr>
            <sz val="10"/>
            <rFont val="Arial"/>
            <family val="2"/>
          </rPr>
          <t xml:space="preserve">Only for runs of at least 1 m; shorter runs are dominated by start-up current.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Found in Python: car stopped (speed 0, Drive output off) with PV &gt; 3 W for at least 3 s. Shorter pauses between runs (0.2-1.4 s) are left out.</t>
        </r>
      </text>
    </comment>
    <comment ref="H1" authorId="0">
      <text>
        <r>
          <rPr>
            <sz val="10"/>
            <rFont val="Arial"/>
            <family val="2"/>
          </rPr>
          <t xml:space="preserve">= minus battery power (V x I): positive = charging.</t>
        </r>
      </text>
    </comment>
    <comment ref="I1" authorId="0">
      <text>
        <r>
          <rPr>
            <sz val="10"/>
            <rFont val="Arial"/>
            <family val="2"/>
          </rPr>
          <t xml:space="preserve">Car electronics while parked (ESP32, sensors, Nano): battery power + PV share (Summary C8).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1" authorId="0">
      <text>
        <r>
          <rPr>
            <sz val="10"/>
            <rFont val="Arial"/>
            <family val="2"/>
          </rPr>
          <t xml:space="preserve">Time to the next sample (last row: 0.2 s, the 5 Hz log period). Used to integrate distance and energy.</t>
        </r>
      </text>
    </comment>
    <comment ref="T1" authorId="0">
      <text>
        <r>
          <rPr>
            <sz val="10"/>
            <rFont val="Arial"/>
            <family val="2"/>
          </rPr>
          <t xml:space="preserve">Estimated current drawn by the car = battery current + the share of PV power reaching the battery side (Summary C8 x pv_W).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Values copied from Data for each run, re-timed from the run start so runs overlay on one chart. Load power uses the Summary C8 factor (0.0815).</t>
        </r>
      </text>
    </comment>
  </commentList>
</comments>
</file>

<file path=xl/sharedStrings.xml><?xml version="1.0" encoding="utf-8"?>
<sst xmlns="http://schemas.openxmlformats.org/spreadsheetml/2006/main" count="768" uniqueCount="126">
  <si>
    <t xml:space="preserve">Solar car outdoor drive test — 23/10/2026</t>
  </si>
  <si>
    <t xml:space="preserve">Source: solarcar_log_23_10_2026.csv (car_main 5 Hz log, t = 174.8–295.3 s, 603 samples). Manual mode, Drive / STOP from rest to full throttle.</t>
  </si>
  <si>
    <t xml:space="preserve">Sun runs were driven in clear sun; shade runs in shade. Condition is set by measured PV power (sun ≥ ~1.5 W, shade ≤ ~0.7 W mean).</t>
  </si>
  <si>
    <t xml:space="preserve">Assumption</t>
  </si>
  <si>
    <t xml:space="preserve">PV-to-battery factor (A per W of PV)</t>
  </si>
  <si>
    <t xml:space="preserve">Fitted at rest (car stopped, 325 samples): battery A = −0.0815 × PV W + 0.113, rms error 0.007 A. 0.97 W reaches the battery side per W of PV.</t>
  </si>
  <si>
    <t xml:space="preserve">Idle electronics current (A)</t>
  </si>
  <si>
    <t xml:space="preserve">Intercept of the same fit = draw with PV ≈ 0 (≈ 1.34 W at 11.85 V).</t>
  </si>
  <si>
    <t xml:space="preserve">By condition</t>
  </si>
  <si>
    <t xml:space="preserve">Metric</t>
  </si>
  <si>
    <t xml:space="preserve">Sun</t>
  </si>
  <si>
    <t xml:space="preserve">Shade</t>
  </si>
  <si>
    <t xml:space="preserve">Runs (from rest)</t>
  </si>
  <si>
    <t xml:space="preserve">Mean peak speed (m/s)</t>
  </si>
  <si>
    <t xml:space="preserve">Best peak speed (m/s)</t>
  </si>
  <si>
    <t xml:space="preserve">Mean time to 90 % of peak (s)</t>
  </si>
  <si>
    <t xml:space="preserve">Total distance (m)</t>
  </si>
  <si>
    <t xml:space="preserve">Mean load power while driving (W)</t>
  </si>
  <si>
    <t xml:space="preserve">Mean PV power while driving (W)</t>
  </si>
  <si>
    <t xml:space="preserve">Mean peak battery current (A)</t>
  </si>
  <si>
    <t xml:space="preserve">Mean voltage sag at start (V)</t>
  </si>
  <si>
    <t xml:space="preserve">Total load energy (J)</t>
  </si>
  <si>
    <t xml:space="preserve">Total battery energy (J)</t>
  </si>
  <si>
    <t xml:space="preserve">Share of driving energy from solar</t>
  </si>
  <si>
    <t xml:space="preserve">Energy per metre, runs ≥ 1 m (J/m)</t>
  </si>
  <si>
    <t xml:space="preserve">Observations</t>
  </si>
  <si>
    <t xml:space="preserve">• In the sun the panels supplied most of the driving energy: the battery barely discharged (see the share row and Charts - Sun). Parked in the sun the pack charged at ~0.3 A net (~5 W PV).</t>
  </si>
  <si>
    <t xml:space="preserve">• In shade (PV ≈ 0.1 W) the battery supplied ~all of the 6–7 W load; the car reached ~0.7 m/s within ~1 s and used ~11 J per metre.</t>
  </si>
  <si>
    <t xml:space="preserve">• Parked in the sun (2 stationary tests, Charging sheet): about 4.8–5.7 W of PV, about 1.3 W used by the electronics and 3.3–4.2 W going into the pack (about 0.28–0.35 A).</t>
  </si>
  <si>
    <t xml:space="preserve">• Sun runs drew a similar load (~5–7 W) but only reached 0.12–0.35 m/s. Throttle is not in the log, so this cannot yet be separated from a lower throttle, surface or slope — log the throttle % next time.</t>
  </si>
  <si>
    <t xml:space="preserve">• PV power fell from ~5.7 W to ~4 W during the sun driving and recovered when parked (heading change or tracker parking the panel while moving).</t>
  </si>
  <si>
    <t xml:space="preserve">• Start-up current peaks of 0.5–1.1 A sag the pack by 0.25–0.41 V; no resets, no low-voltage lock.</t>
  </si>
  <si>
    <t xml:space="preserve">• Link-loss stop seen once (t = 251.9–260.5 s, parked in shade): failsafe flag set, gear forced to STOP.</t>
  </si>
  <si>
    <t xml:space="preserve">• Not used in the analysis: one Drive press at t = 179.4 s with no movement; rear ultrasonic (dB) not connected; Copilot correction was 0 (Manual mode).</t>
  </si>
  <si>
    <t xml:space="preserve">Stationary charging in the sun</t>
  </si>
  <si>
    <t xml:space="preserve">Mean of tests</t>
  </si>
  <si>
    <t xml:space="preserve">Tests</t>
  </si>
  <si>
    <t xml:space="preserve">Total time (s)</t>
  </si>
  <si>
    <t xml:space="preserve">PV power (W)</t>
  </si>
  <si>
    <t xml:space="preserve">Power into battery (W)</t>
  </si>
  <si>
    <t xml:space="preserve">Electronics load (W)</t>
  </si>
  <si>
    <t xml:space="preserve">Share of PV reaching battery</t>
  </si>
  <si>
    <t xml:space="preserve">Run</t>
  </si>
  <si>
    <t xml:space="preserve">Condition</t>
  </si>
  <si>
    <t xml:space="preserve">Start (s)</t>
  </si>
  <si>
    <t xml:space="preserve">Drive released (s)</t>
  </si>
  <si>
    <t xml:space="preserve">Stopped (s)</t>
  </si>
  <si>
    <t xml:space="preserve">Drive time (s)</t>
  </si>
  <si>
    <t xml:space="preserve">Peak speed (m/s)</t>
  </si>
  <si>
    <t xml:space="preserve">Time to 90 % of peak (s)</t>
  </si>
  <si>
    <t xml:space="preserve">Mean speed (m/s)</t>
  </si>
  <si>
    <t xml:space="preserve">Distance (m)</t>
  </si>
  <si>
    <t xml:space="preserve">Peak battery current (A)</t>
  </si>
  <si>
    <t xml:space="preserve">Mean load current (A)</t>
  </si>
  <si>
    <t xml:space="preserve">Mean load power (W)</t>
  </si>
  <si>
    <t xml:space="preserve">Min pack voltage (V)</t>
  </si>
  <si>
    <t xml:space="preserve">Pack voltage before start (V)</t>
  </si>
  <si>
    <t xml:space="preserve">Voltage sag (V)</t>
  </si>
  <si>
    <t xml:space="preserve">Mean PV power (W)</t>
  </si>
  <si>
    <t xml:space="preserve">Load energy (J)</t>
  </si>
  <si>
    <t xml:space="preserve">Battery energy (J)</t>
  </si>
  <si>
    <t xml:space="preserve">Share supplied by solar</t>
  </si>
  <si>
    <t xml:space="preserve">Energy per metre (J/m)</t>
  </si>
  <si>
    <t xml:space="preserve">Notes</t>
  </si>
  <si>
    <t xml:space="preserve">Sun 1</t>
  </si>
  <si>
    <t xml:space="preserve">Crept forward only (0.14 m); little or no throttle for most of the 7.8 s.</t>
  </si>
  <si>
    <t xml:space="preserve">Sun 2</t>
  </si>
  <si>
    <t xml:space="preserve">Sun 3</t>
  </si>
  <si>
    <t xml:space="preserve">Sun 4</t>
  </si>
  <si>
    <t xml:space="preserve">Short creep (0.08 m).</t>
  </si>
  <si>
    <t xml:space="preserve">Sun 5</t>
  </si>
  <si>
    <t xml:space="preserve">Sun 6</t>
  </si>
  <si>
    <t xml:space="preserve">Sun 7</t>
  </si>
  <si>
    <t xml:space="preserve">Driven into the shade: PV fell from 3.4 to 1.2 W during the run.</t>
  </si>
  <si>
    <t xml:space="preserve">Shade 1</t>
  </si>
  <si>
    <t xml:space="preserve">Longest run (5.8 m); speed dips to ~0.35–0.45 m/s mid-run (steering / brief sun patch at 265.9 s).</t>
  </si>
  <si>
    <t xml:space="preserve">Shade 2</t>
  </si>
  <si>
    <t xml:space="preserve">Shade 3</t>
  </si>
  <si>
    <t xml:space="preserve">Shade 4</t>
  </si>
  <si>
    <t xml:space="preserve">Test</t>
  </si>
  <si>
    <t xml:space="preserve">End (s)</t>
  </si>
  <si>
    <t xml:space="preserve">Duration (s)</t>
  </si>
  <si>
    <t xml:space="preserve">Mean battery current (A)</t>
  </si>
  <si>
    <t xml:space="preserve">Mean pack voltage (V)</t>
  </si>
  <si>
    <t xml:space="preserve">Energy into battery (J)</t>
  </si>
  <si>
    <t xml:space="preserve">Share of PV used by electronics</t>
  </si>
  <si>
    <t xml:space="preserve">Charge 1</t>
  </si>
  <si>
    <t xml:space="preserve">Parked in sun before the first drive (log starts at 174.8 s).</t>
  </si>
  <si>
    <t xml:space="preserve">Charge 2</t>
  </si>
  <si>
    <t xml:space="preserve">Parked in sun between sun runs 3 and 4; one PV glitch at 213.8 s (0.4 W for one sample).</t>
  </si>
  <si>
    <t xml:space="preserve">Into battery + electronics load ≈ PV x 0.97: the solar power that is not used by the electronics goes into the pack.</t>
  </si>
  <si>
    <t xml:space="preserve">t_s</t>
  </si>
  <si>
    <t xml:space="preserve">pack_V</t>
  </si>
  <si>
    <t xml:space="preserve">pack_A</t>
  </si>
  <si>
    <t xml:space="preserve">pv_W</t>
  </si>
  <si>
    <t xml:space="preserve">speed_mps</t>
  </si>
  <si>
    <t xml:space="preserve">soc_pct</t>
  </si>
  <si>
    <t xml:space="preserve">dF_cm</t>
  </si>
  <si>
    <t xml:space="preserve">dL_cm</t>
  </si>
  <si>
    <t xml:space="preserve">dR_cm</t>
  </si>
  <si>
    <t xml:space="preserve">dB_cm</t>
  </si>
  <si>
    <t xml:space="preserve">gear</t>
  </si>
  <si>
    <t xml:space="preserve">driving</t>
  </si>
  <si>
    <t xml:space="preserve">failsafe</t>
  </si>
  <si>
    <t xml:space="preserve">copilot_block</t>
  </si>
  <si>
    <t xml:space="preserve">lv_lock</t>
  </si>
  <si>
    <t xml:space="preserve">bat_ok</t>
  </si>
  <si>
    <t xml:space="preserve">pv_ok</t>
  </si>
  <si>
    <t xml:space="preserve">copilot_u</t>
  </si>
  <si>
    <t xml:space="preserve">dt_s</t>
  </si>
  <si>
    <t xml:space="preserve">I_load_A</t>
  </si>
  <si>
    <t xml:space="preserve">P_load_W</t>
  </si>
  <si>
    <t xml:space="preserve">P_pack_W</t>
  </si>
  <si>
    <t xml:space="preserve">run</t>
  </si>
  <si>
    <t xml:space="preserve">condition</t>
  </si>
  <si>
    <t xml:space="preserve">t since start (s)</t>
  </si>
  <si>
    <t xml:space="preserve">speed (m/s)</t>
  </si>
  <si>
    <t xml:space="preserve">load power (W)</t>
  </si>
  <si>
    <t xml:space="preserve">battery power (W)</t>
  </si>
  <si>
    <t xml:space="preserve">electronics load (W)</t>
  </si>
  <si>
    <t xml:space="preserve">into battery (W)</t>
  </si>
  <si>
    <t xml:space="preserve">Whole log: sun phase, move into shade, idle, shade phase</t>
  </si>
  <si>
    <t xml:space="preserve">Sun runs: from rest to full throttle (7 runs)</t>
  </si>
  <si>
    <t xml:space="preserve">Shade runs: from rest to full throttle (4 runs)</t>
  </si>
  <si>
    <t xml:space="preserve">Load power vs PV power for every run (orange = PV, blue = load). Load above PV = the battery supplies the difference.</t>
  </si>
  <si>
    <t xml:space="preserve">Stationary charging in the sun: PV power vs electronics load vs power into the battery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</si>
</sst>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"/>
    <numFmt numFmtId="168" formatCode="0%"/>
    <numFmt numFmtId="169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2A2A2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EC7546"/>
      <rgbColor rgb="FF800080"/>
      <rgbColor rgb="FF008080"/>
      <rgbColor rgb="FFD9D9D9"/>
      <rgbColor rgb="FF7A7A7A"/>
      <rgbColor rgb="FF78A9E5"/>
      <rgbColor rgb="FF993366"/>
      <rgbColor rgb="FFFFFFCC"/>
      <rgbColor rgb="FFCCFFFF"/>
      <rgbColor rgb="FF660066"/>
      <rgbColor rgb="FFEE8359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2EC"/>
      <rgbColor rgb="FFF4AD91"/>
      <rgbColor rgb="FFF29F7E"/>
      <rgbColor rgb="FFF6BBA3"/>
      <rgbColor rgb="FF2A78D6"/>
      <rgbColor rgb="FF5190DD"/>
      <rgbColor rgb="FF99CC00"/>
      <rgbColor rgb="FFFFCC00"/>
      <rgbColor rgb="FFF0916B"/>
      <rgbColor rgb="FFEB6834"/>
      <rgbColor rgb="FF4F81BD"/>
      <rgbColor rgb="FF878787"/>
      <rgbColor rgb="FF1F3A5F"/>
      <rgbColor rgb="FF1BAF7A"/>
      <rgbColor rgb="FF003300"/>
      <rgbColor rgb="FF333300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 over the whole log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"Speed"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rgbClr val="2a2a2a"/>
            </a:solidFill>
            <a:ln w="15840">
              <a:solidFill>
                <a:srgbClr val="2a2a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Data!$A$2:$A$604</c:f>
              <c:numCache>
                <c:formatCode>General</c:formatCode>
                <c:ptCount val="603"/>
                <c:pt idx="0">
                  <c:v>174.84</c:v>
                </c:pt>
                <c:pt idx="1">
                  <c:v>175.03</c:v>
                </c:pt>
                <c:pt idx="2">
                  <c:v>175.24</c:v>
                </c:pt>
                <c:pt idx="3">
                  <c:v>175.44</c:v>
                </c:pt>
                <c:pt idx="4">
                  <c:v>175.63</c:v>
                </c:pt>
                <c:pt idx="5">
                  <c:v>175.84</c:v>
                </c:pt>
                <c:pt idx="6">
                  <c:v>176.03</c:v>
                </c:pt>
                <c:pt idx="7">
                  <c:v>176.24</c:v>
                </c:pt>
                <c:pt idx="8">
                  <c:v>176.44</c:v>
                </c:pt>
                <c:pt idx="9">
                  <c:v>176.63</c:v>
                </c:pt>
                <c:pt idx="10">
                  <c:v>176.84</c:v>
                </c:pt>
                <c:pt idx="11">
                  <c:v>177.03</c:v>
                </c:pt>
                <c:pt idx="12">
                  <c:v>177.24</c:v>
                </c:pt>
                <c:pt idx="13">
                  <c:v>177.44</c:v>
                </c:pt>
                <c:pt idx="14">
                  <c:v>177.63</c:v>
                </c:pt>
                <c:pt idx="15">
                  <c:v>177.84</c:v>
                </c:pt>
                <c:pt idx="16">
                  <c:v>178.03</c:v>
                </c:pt>
                <c:pt idx="17">
                  <c:v>178.24</c:v>
                </c:pt>
                <c:pt idx="18">
                  <c:v>178.44</c:v>
                </c:pt>
                <c:pt idx="19">
                  <c:v>178.63</c:v>
                </c:pt>
                <c:pt idx="20">
                  <c:v>178.83</c:v>
                </c:pt>
                <c:pt idx="21">
                  <c:v>179.03</c:v>
                </c:pt>
                <c:pt idx="22">
                  <c:v>179.23</c:v>
                </c:pt>
                <c:pt idx="23">
                  <c:v>179.44</c:v>
                </c:pt>
                <c:pt idx="24">
                  <c:v>179.64</c:v>
                </c:pt>
                <c:pt idx="25">
                  <c:v>179.84</c:v>
                </c:pt>
                <c:pt idx="26">
                  <c:v>180.04</c:v>
                </c:pt>
                <c:pt idx="27">
                  <c:v>180.24</c:v>
                </c:pt>
                <c:pt idx="28">
                  <c:v>180.44</c:v>
                </c:pt>
                <c:pt idx="29">
                  <c:v>180.64</c:v>
                </c:pt>
                <c:pt idx="30">
                  <c:v>180.84</c:v>
                </c:pt>
                <c:pt idx="31">
                  <c:v>181.04</c:v>
                </c:pt>
                <c:pt idx="32">
                  <c:v>181.24</c:v>
                </c:pt>
                <c:pt idx="33">
                  <c:v>181.44</c:v>
                </c:pt>
                <c:pt idx="34">
                  <c:v>181.64</c:v>
                </c:pt>
                <c:pt idx="35">
                  <c:v>181.84</c:v>
                </c:pt>
                <c:pt idx="36">
                  <c:v>182.04</c:v>
                </c:pt>
                <c:pt idx="37">
                  <c:v>182.24</c:v>
                </c:pt>
                <c:pt idx="38">
                  <c:v>182.44</c:v>
                </c:pt>
                <c:pt idx="39">
                  <c:v>182.64</c:v>
                </c:pt>
                <c:pt idx="40">
                  <c:v>182.84</c:v>
                </c:pt>
                <c:pt idx="41">
                  <c:v>183.04</c:v>
                </c:pt>
                <c:pt idx="42">
                  <c:v>183.24</c:v>
                </c:pt>
                <c:pt idx="43">
                  <c:v>183.44</c:v>
                </c:pt>
                <c:pt idx="44">
                  <c:v>183.64</c:v>
                </c:pt>
                <c:pt idx="45">
                  <c:v>183.84</c:v>
                </c:pt>
                <c:pt idx="46">
                  <c:v>184.03</c:v>
                </c:pt>
                <c:pt idx="47">
                  <c:v>184.23</c:v>
                </c:pt>
                <c:pt idx="48">
                  <c:v>184.43</c:v>
                </c:pt>
                <c:pt idx="49">
                  <c:v>184.63</c:v>
                </c:pt>
                <c:pt idx="50">
                  <c:v>184.83</c:v>
                </c:pt>
                <c:pt idx="51">
                  <c:v>185.03</c:v>
                </c:pt>
                <c:pt idx="52">
                  <c:v>185.24</c:v>
                </c:pt>
                <c:pt idx="53">
                  <c:v>185.44</c:v>
                </c:pt>
                <c:pt idx="54">
                  <c:v>185.64</c:v>
                </c:pt>
                <c:pt idx="55">
                  <c:v>185.84</c:v>
                </c:pt>
                <c:pt idx="56">
                  <c:v>186.04</c:v>
                </c:pt>
                <c:pt idx="57">
                  <c:v>186.24</c:v>
                </c:pt>
                <c:pt idx="58">
                  <c:v>186.44</c:v>
                </c:pt>
                <c:pt idx="59">
                  <c:v>186.64</c:v>
                </c:pt>
                <c:pt idx="60">
                  <c:v>186.84</c:v>
                </c:pt>
                <c:pt idx="61">
                  <c:v>187.04</c:v>
                </c:pt>
                <c:pt idx="62">
                  <c:v>187.24</c:v>
                </c:pt>
                <c:pt idx="63">
                  <c:v>187.44</c:v>
                </c:pt>
                <c:pt idx="64">
                  <c:v>187.64</c:v>
                </c:pt>
                <c:pt idx="65">
                  <c:v>187.84</c:v>
                </c:pt>
                <c:pt idx="66">
                  <c:v>188.04</c:v>
                </c:pt>
                <c:pt idx="67">
                  <c:v>188.24</c:v>
                </c:pt>
                <c:pt idx="68">
                  <c:v>188.44</c:v>
                </c:pt>
                <c:pt idx="69">
                  <c:v>188.64</c:v>
                </c:pt>
                <c:pt idx="70">
                  <c:v>188.84</c:v>
                </c:pt>
                <c:pt idx="71">
                  <c:v>189.04</c:v>
                </c:pt>
                <c:pt idx="72">
                  <c:v>189.24</c:v>
                </c:pt>
                <c:pt idx="73">
                  <c:v>189.44</c:v>
                </c:pt>
                <c:pt idx="74">
                  <c:v>189.64</c:v>
                </c:pt>
                <c:pt idx="75">
                  <c:v>189.84</c:v>
                </c:pt>
                <c:pt idx="76">
                  <c:v>190.04</c:v>
                </c:pt>
                <c:pt idx="77">
                  <c:v>190.24</c:v>
                </c:pt>
                <c:pt idx="78">
                  <c:v>190.44</c:v>
                </c:pt>
                <c:pt idx="79">
                  <c:v>190.64</c:v>
                </c:pt>
                <c:pt idx="80">
                  <c:v>190.84</c:v>
                </c:pt>
                <c:pt idx="81">
                  <c:v>191.04</c:v>
                </c:pt>
                <c:pt idx="82">
                  <c:v>191.24</c:v>
                </c:pt>
                <c:pt idx="83">
                  <c:v>191.44</c:v>
                </c:pt>
                <c:pt idx="84">
                  <c:v>191.64</c:v>
                </c:pt>
                <c:pt idx="85">
                  <c:v>191.84</c:v>
                </c:pt>
                <c:pt idx="86">
                  <c:v>192.04</c:v>
                </c:pt>
                <c:pt idx="87">
                  <c:v>192.24</c:v>
                </c:pt>
                <c:pt idx="88">
                  <c:v>192.44</c:v>
                </c:pt>
                <c:pt idx="89">
                  <c:v>192.64</c:v>
                </c:pt>
                <c:pt idx="90">
                  <c:v>192.84</c:v>
                </c:pt>
                <c:pt idx="91">
                  <c:v>193.04</c:v>
                </c:pt>
                <c:pt idx="92">
                  <c:v>193.24</c:v>
                </c:pt>
                <c:pt idx="93">
                  <c:v>193.44</c:v>
                </c:pt>
                <c:pt idx="94">
                  <c:v>193.64</c:v>
                </c:pt>
                <c:pt idx="95">
                  <c:v>193.84</c:v>
                </c:pt>
                <c:pt idx="96">
                  <c:v>194.04</c:v>
                </c:pt>
                <c:pt idx="97">
                  <c:v>194.24</c:v>
                </c:pt>
                <c:pt idx="98">
                  <c:v>194.44</c:v>
                </c:pt>
                <c:pt idx="99">
                  <c:v>194.64</c:v>
                </c:pt>
                <c:pt idx="100">
                  <c:v>194.84</c:v>
                </c:pt>
                <c:pt idx="101">
                  <c:v>195.04</c:v>
                </c:pt>
                <c:pt idx="102">
                  <c:v>195.24</c:v>
                </c:pt>
                <c:pt idx="103">
                  <c:v>195.44</c:v>
                </c:pt>
                <c:pt idx="104">
                  <c:v>195.64</c:v>
                </c:pt>
                <c:pt idx="105">
                  <c:v>195.84</c:v>
                </c:pt>
                <c:pt idx="106">
                  <c:v>196.04</c:v>
                </c:pt>
                <c:pt idx="107">
                  <c:v>196.24</c:v>
                </c:pt>
                <c:pt idx="108">
                  <c:v>196.44</c:v>
                </c:pt>
                <c:pt idx="109">
                  <c:v>196.64</c:v>
                </c:pt>
                <c:pt idx="110">
                  <c:v>196.84</c:v>
                </c:pt>
                <c:pt idx="111">
                  <c:v>197.04</c:v>
                </c:pt>
                <c:pt idx="112">
                  <c:v>197.24</c:v>
                </c:pt>
                <c:pt idx="113">
                  <c:v>197.44</c:v>
                </c:pt>
                <c:pt idx="114">
                  <c:v>197.64</c:v>
                </c:pt>
                <c:pt idx="115">
                  <c:v>197.84</c:v>
                </c:pt>
                <c:pt idx="116">
                  <c:v>198.04</c:v>
                </c:pt>
                <c:pt idx="117">
                  <c:v>198.24</c:v>
                </c:pt>
                <c:pt idx="118">
                  <c:v>198.44</c:v>
                </c:pt>
                <c:pt idx="119">
                  <c:v>198.64</c:v>
                </c:pt>
                <c:pt idx="120">
                  <c:v>198.84</c:v>
                </c:pt>
                <c:pt idx="121">
                  <c:v>199.04</c:v>
                </c:pt>
                <c:pt idx="122">
                  <c:v>199.24</c:v>
                </c:pt>
                <c:pt idx="123">
                  <c:v>199.44</c:v>
                </c:pt>
                <c:pt idx="124">
                  <c:v>199.64</c:v>
                </c:pt>
                <c:pt idx="125">
                  <c:v>199.84</c:v>
                </c:pt>
                <c:pt idx="126">
                  <c:v>200.04</c:v>
                </c:pt>
                <c:pt idx="127">
                  <c:v>200.24</c:v>
                </c:pt>
                <c:pt idx="128">
                  <c:v>200.44</c:v>
                </c:pt>
                <c:pt idx="129">
                  <c:v>200.64</c:v>
                </c:pt>
                <c:pt idx="130">
                  <c:v>200.84</c:v>
                </c:pt>
                <c:pt idx="131">
                  <c:v>201.04</c:v>
                </c:pt>
                <c:pt idx="132">
                  <c:v>201.24</c:v>
                </c:pt>
                <c:pt idx="133">
                  <c:v>201.44</c:v>
                </c:pt>
                <c:pt idx="134">
                  <c:v>201.64</c:v>
                </c:pt>
                <c:pt idx="135">
                  <c:v>201.84</c:v>
                </c:pt>
                <c:pt idx="136">
                  <c:v>202.04</c:v>
                </c:pt>
                <c:pt idx="137">
                  <c:v>202.24</c:v>
                </c:pt>
                <c:pt idx="138">
                  <c:v>202.44</c:v>
                </c:pt>
                <c:pt idx="139">
                  <c:v>202.64</c:v>
                </c:pt>
                <c:pt idx="140">
                  <c:v>202.84</c:v>
                </c:pt>
                <c:pt idx="141">
                  <c:v>203.04</c:v>
                </c:pt>
                <c:pt idx="142">
                  <c:v>203.24</c:v>
                </c:pt>
                <c:pt idx="143">
                  <c:v>203.44</c:v>
                </c:pt>
                <c:pt idx="144">
                  <c:v>203.64</c:v>
                </c:pt>
                <c:pt idx="145">
                  <c:v>203.84</c:v>
                </c:pt>
                <c:pt idx="146">
                  <c:v>204.04</c:v>
                </c:pt>
                <c:pt idx="147">
                  <c:v>204.24</c:v>
                </c:pt>
                <c:pt idx="148">
                  <c:v>204.44</c:v>
                </c:pt>
                <c:pt idx="149">
                  <c:v>204.64</c:v>
                </c:pt>
                <c:pt idx="150">
                  <c:v>204.84</c:v>
                </c:pt>
                <c:pt idx="151">
                  <c:v>205.04</c:v>
                </c:pt>
                <c:pt idx="152">
                  <c:v>205.24</c:v>
                </c:pt>
                <c:pt idx="153">
                  <c:v>205.44</c:v>
                </c:pt>
                <c:pt idx="154">
                  <c:v>205.64</c:v>
                </c:pt>
                <c:pt idx="155">
                  <c:v>205.84</c:v>
                </c:pt>
                <c:pt idx="156">
                  <c:v>206.04</c:v>
                </c:pt>
                <c:pt idx="157">
                  <c:v>206.24</c:v>
                </c:pt>
                <c:pt idx="158">
                  <c:v>206.44</c:v>
                </c:pt>
                <c:pt idx="159">
                  <c:v>206.64</c:v>
                </c:pt>
                <c:pt idx="160">
                  <c:v>206.84</c:v>
                </c:pt>
                <c:pt idx="161">
                  <c:v>207.04</c:v>
                </c:pt>
                <c:pt idx="162">
                  <c:v>207.24</c:v>
                </c:pt>
                <c:pt idx="163">
                  <c:v>207.44</c:v>
                </c:pt>
                <c:pt idx="164">
                  <c:v>207.64</c:v>
                </c:pt>
                <c:pt idx="165">
                  <c:v>207.84</c:v>
                </c:pt>
                <c:pt idx="166">
                  <c:v>208.04</c:v>
                </c:pt>
                <c:pt idx="167">
                  <c:v>208.24</c:v>
                </c:pt>
                <c:pt idx="168">
                  <c:v>208.44</c:v>
                </c:pt>
                <c:pt idx="169">
                  <c:v>208.64</c:v>
                </c:pt>
                <c:pt idx="170">
                  <c:v>208.84</c:v>
                </c:pt>
                <c:pt idx="171">
                  <c:v>209.04</c:v>
                </c:pt>
                <c:pt idx="172">
                  <c:v>209.24</c:v>
                </c:pt>
                <c:pt idx="173">
                  <c:v>209.44</c:v>
                </c:pt>
                <c:pt idx="174">
                  <c:v>209.64</c:v>
                </c:pt>
                <c:pt idx="175">
                  <c:v>209.84</c:v>
                </c:pt>
                <c:pt idx="176">
                  <c:v>210.04</c:v>
                </c:pt>
                <c:pt idx="177">
                  <c:v>210.24</c:v>
                </c:pt>
                <c:pt idx="178">
                  <c:v>210.44</c:v>
                </c:pt>
                <c:pt idx="179">
                  <c:v>210.64</c:v>
                </c:pt>
                <c:pt idx="180">
                  <c:v>210.84</c:v>
                </c:pt>
                <c:pt idx="181">
                  <c:v>211.04</c:v>
                </c:pt>
                <c:pt idx="182">
                  <c:v>211.24</c:v>
                </c:pt>
                <c:pt idx="183">
                  <c:v>211.44</c:v>
                </c:pt>
                <c:pt idx="184">
                  <c:v>211.64</c:v>
                </c:pt>
                <c:pt idx="185">
                  <c:v>211.84</c:v>
                </c:pt>
                <c:pt idx="186">
                  <c:v>212.04</c:v>
                </c:pt>
                <c:pt idx="187">
                  <c:v>212.24</c:v>
                </c:pt>
                <c:pt idx="188">
                  <c:v>212.44</c:v>
                </c:pt>
                <c:pt idx="189">
                  <c:v>212.64</c:v>
                </c:pt>
                <c:pt idx="190">
                  <c:v>212.84</c:v>
                </c:pt>
                <c:pt idx="191">
                  <c:v>213.04</c:v>
                </c:pt>
                <c:pt idx="192">
                  <c:v>213.24</c:v>
                </c:pt>
                <c:pt idx="193">
                  <c:v>213.44</c:v>
                </c:pt>
                <c:pt idx="194">
                  <c:v>213.64</c:v>
                </c:pt>
                <c:pt idx="195">
                  <c:v>213.84</c:v>
                </c:pt>
                <c:pt idx="196">
                  <c:v>214.04</c:v>
                </c:pt>
                <c:pt idx="197">
                  <c:v>214.24</c:v>
                </c:pt>
                <c:pt idx="198">
                  <c:v>214.44</c:v>
                </c:pt>
                <c:pt idx="199">
                  <c:v>214.64</c:v>
                </c:pt>
                <c:pt idx="200">
                  <c:v>214.84</c:v>
                </c:pt>
                <c:pt idx="201">
                  <c:v>215.04</c:v>
                </c:pt>
                <c:pt idx="202">
                  <c:v>215.24</c:v>
                </c:pt>
                <c:pt idx="203">
                  <c:v>215.44</c:v>
                </c:pt>
                <c:pt idx="204">
                  <c:v>215.64</c:v>
                </c:pt>
                <c:pt idx="205">
                  <c:v>215.84</c:v>
                </c:pt>
                <c:pt idx="206">
                  <c:v>216.04</c:v>
                </c:pt>
                <c:pt idx="207">
                  <c:v>216.24</c:v>
                </c:pt>
                <c:pt idx="208">
                  <c:v>216.44</c:v>
                </c:pt>
                <c:pt idx="209">
                  <c:v>216.64</c:v>
                </c:pt>
                <c:pt idx="210">
                  <c:v>216.84</c:v>
                </c:pt>
                <c:pt idx="211">
                  <c:v>217.04</c:v>
                </c:pt>
                <c:pt idx="212">
                  <c:v>217.24</c:v>
                </c:pt>
                <c:pt idx="213">
                  <c:v>217.44</c:v>
                </c:pt>
                <c:pt idx="214">
                  <c:v>217.64</c:v>
                </c:pt>
                <c:pt idx="215">
                  <c:v>217.84</c:v>
                </c:pt>
                <c:pt idx="216">
                  <c:v>218.04</c:v>
                </c:pt>
                <c:pt idx="217">
                  <c:v>218.24</c:v>
                </c:pt>
                <c:pt idx="218">
                  <c:v>218.44</c:v>
                </c:pt>
                <c:pt idx="219">
                  <c:v>218.64</c:v>
                </c:pt>
                <c:pt idx="220">
                  <c:v>218.84</c:v>
                </c:pt>
                <c:pt idx="221">
                  <c:v>219.04</c:v>
                </c:pt>
                <c:pt idx="222">
                  <c:v>219.24</c:v>
                </c:pt>
                <c:pt idx="223">
                  <c:v>219.44</c:v>
                </c:pt>
                <c:pt idx="224">
                  <c:v>219.64</c:v>
                </c:pt>
                <c:pt idx="225">
                  <c:v>219.84</c:v>
                </c:pt>
                <c:pt idx="226">
                  <c:v>220.04</c:v>
                </c:pt>
                <c:pt idx="227">
                  <c:v>220.24</c:v>
                </c:pt>
                <c:pt idx="228">
                  <c:v>220.44</c:v>
                </c:pt>
                <c:pt idx="229">
                  <c:v>220.64</c:v>
                </c:pt>
                <c:pt idx="230">
                  <c:v>220.84</c:v>
                </c:pt>
                <c:pt idx="231">
                  <c:v>221.04</c:v>
                </c:pt>
                <c:pt idx="232">
                  <c:v>221.24</c:v>
                </c:pt>
                <c:pt idx="233">
                  <c:v>221.44</c:v>
                </c:pt>
                <c:pt idx="234">
                  <c:v>221.64</c:v>
                </c:pt>
                <c:pt idx="235">
                  <c:v>221.84</c:v>
                </c:pt>
                <c:pt idx="236">
                  <c:v>222.04</c:v>
                </c:pt>
                <c:pt idx="237">
                  <c:v>222.25</c:v>
                </c:pt>
                <c:pt idx="238">
                  <c:v>222.45</c:v>
                </c:pt>
                <c:pt idx="239">
                  <c:v>222.65</c:v>
                </c:pt>
                <c:pt idx="240">
                  <c:v>222.85</c:v>
                </c:pt>
                <c:pt idx="241">
                  <c:v>223.05</c:v>
                </c:pt>
                <c:pt idx="242">
                  <c:v>223.27</c:v>
                </c:pt>
                <c:pt idx="243">
                  <c:v>223.46</c:v>
                </c:pt>
                <c:pt idx="244">
                  <c:v>223.66</c:v>
                </c:pt>
                <c:pt idx="245">
                  <c:v>223.86</c:v>
                </c:pt>
                <c:pt idx="246">
                  <c:v>224.06</c:v>
                </c:pt>
                <c:pt idx="247">
                  <c:v>224.26</c:v>
                </c:pt>
                <c:pt idx="248">
                  <c:v>224.46</c:v>
                </c:pt>
                <c:pt idx="249">
                  <c:v>224.66</c:v>
                </c:pt>
                <c:pt idx="250">
                  <c:v>224.86</c:v>
                </c:pt>
                <c:pt idx="251">
                  <c:v>225.06</c:v>
                </c:pt>
                <c:pt idx="252">
                  <c:v>225.26</c:v>
                </c:pt>
                <c:pt idx="253">
                  <c:v>225.46</c:v>
                </c:pt>
                <c:pt idx="254">
                  <c:v>225.66</c:v>
                </c:pt>
                <c:pt idx="255">
                  <c:v>225.86</c:v>
                </c:pt>
                <c:pt idx="256">
                  <c:v>226.06</c:v>
                </c:pt>
                <c:pt idx="257">
                  <c:v>226.26</c:v>
                </c:pt>
                <c:pt idx="258">
                  <c:v>226.46</c:v>
                </c:pt>
                <c:pt idx="259">
                  <c:v>226.66</c:v>
                </c:pt>
                <c:pt idx="260">
                  <c:v>226.86</c:v>
                </c:pt>
                <c:pt idx="261">
                  <c:v>227.06</c:v>
                </c:pt>
                <c:pt idx="262">
                  <c:v>227.26</c:v>
                </c:pt>
                <c:pt idx="263">
                  <c:v>227.46</c:v>
                </c:pt>
                <c:pt idx="264">
                  <c:v>227.66</c:v>
                </c:pt>
                <c:pt idx="265">
                  <c:v>227.86</c:v>
                </c:pt>
                <c:pt idx="266">
                  <c:v>228.06</c:v>
                </c:pt>
                <c:pt idx="267">
                  <c:v>228.26</c:v>
                </c:pt>
                <c:pt idx="268">
                  <c:v>228.46</c:v>
                </c:pt>
                <c:pt idx="269">
                  <c:v>228.66</c:v>
                </c:pt>
                <c:pt idx="270">
                  <c:v>228.86</c:v>
                </c:pt>
                <c:pt idx="271">
                  <c:v>229.06</c:v>
                </c:pt>
                <c:pt idx="272">
                  <c:v>229.26</c:v>
                </c:pt>
                <c:pt idx="273">
                  <c:v>229.46</c:v>
                </c:pt>
                <c:pt idx="274">
                  <c:v>229.66</c:v>
                </c:pt>
                <c:pt idx="275">
                  <c:v>229.86</c:v>
                </c:pt>
                <c:pt idx="276">
                  <c:v>230.06</c:v>
                </c:pt>
                <c:pt idx="277">
                  <c:v>230.26</c:v>
                </c:pt>
                <c:pt idx="278">
                  <c:v>230.46</c:v>
                </c:pt>
                <c:pt idx="279">
                  <c:v>230.66</c:v>
                </c:pt>
                <c:pt idx="280">
                  <c:v>230.86</c:v>
                </c:pt>
                <c:pt idx="281">
                  <c:v>231.06</c:v>
                </c:pt>
                <c:pt idx="282">
                  <c:v>231.26</c:v>
                </c:pt>
                <c:pt idx="283">
                  <c:v>231.46</c:v>
                </c:pt>
                <c:pt idx="284">
                  <c:v>231.66</c:v>
                </c:pt>
                <c:pt idx="285">
                  <c:v>231.86</c:v>
                </c:pt>
                <c:pt idx="286">
                  <c:v>232.06</c:v>
                </c:pt>
                <c:pt idx="287">
                  <c:v>232.26</c:v>
                </c:pt>
                <c:pt idx="288">
                  <c:v>232.46</c:v>
                </c:pt>
                <c:pt idx="289">
                  <c:v>232.66</c:v>
                </c:pt>
                <c:pt idx="290">
                  <c:v>232.86</c:v>
                </c:pt>
                <c:pt idx="291">
                  <c:v>233.06</c:v>
                </c:pt>
                <c:pt idx="292">
                  <c:v>233.26</c:v>
                </c:pt>
                <c:pt idx="293">
                  <c:v>233.46</c:v>
                </c:pt>
                <c:pt idx="294">
                  <c:v>233.66</c:v>
                </c:pt>
                <c:pt idx="295">
                  <c:v>233.86</c:v>
                </c:pt>
                <c:pt idx="296">
                  <c:v>234.06</c:v>
                </c:pt>
                <c:pt idx="297">
                  <c:v>234.26</c:v>
                </c:pt>
                <c:pt idx="298">
                  <c:v>234.46</c:v>
                </c:pt>
                <c:pt idx="299">
                  <c:v>234.66</c:v>
                </c:pt>
                <c:pt idx="300">
                  <c:v>234.86</c:v>
                </c:pt>
                <c:pt idx="301">
                  <c:v>235.06</c:v>
                </c:pt>
                <c:pt idx="302">
                  <c:v>235.26</c:v>
                </c:pt>
                <c:pt idx="303">
                  <c:v>235.46</c:v>
                </c:pt>
                <c:pt idx="304">
                  <c:v>235.66</c:v>
                </c:pt>
                <c:pt idx="305">
                  <c:v>235.86</c:v>
                </c:pt>
                <c:pt idx="306">
                  <c:v>236.06</c:v>
                </c:pt>
                <c:pt idx="307">
                  <c:v>236.26</c:v>
                </c:pt>
                <c:pt idx="308">
                  <c:v>236.46</c:v>
                </c:pt>
                <c:pt idx="309">
                  <c:v>236.66</c:v>
                </c:pt>
                <c:pt idx="310">
                  <c:v>236.86</c:v>
                </c:pt>
                <c:pt idx="311">
                  <c:v>237.06</c:v>
                </c:pt>
                <c:pt idx="312">
                  <c:v>237.26</c:v>
                </c:pt>
                <c:pt idx="313">
                  <c:v>237.46</c:v>
                </c:pt>
                <c:pt idx="314">
                  <c:v>237.66</c:v>
                </c:pt>
                <c:pt idx="315">
                  <c:v>237.86</c:v>
                </c:pt>
                <c:pt idx="316">
                  <c:v>238.06</c:v>
                </c:pt>
                <c:pt idx="317">
                  <c:v>238.26</c:v>
                </c:pt>
                <c:pt idx="318">
                  <c:v>238.46</c:v>
                </c:pt>
                <c:pt idx="319">
                  <c:v>238.66</c:v>
                </c:pt>
                <c:pt idx="320">
                  <c:v>238.86</c:v>
                </c:pt>
                <c:pt idx="321">
                  <c:v>239.06</c:v>
                </c:pt>
                <c:pt idx="322">
                  <c:v>239.26</c:v>
                </c:pt>
                <c:pt idx="323">
                  <c:v>239.46</c:v>
                </c:pt>
                <c:pt idx="324">
                  <c:v>239.66</c:v>
                </c:pt>
                <c:pt idx="325">
                  <c:v>239.86</c:v>
                </c:pt>
                <c:pt idx="326">
                  <c:v>240.06</c:v>
                </c:pt>
                <c:pt idx="327">
                  <c:v>240.26</c:v>
                </c:pt>
                <c:pt idx="328">
                  <c:v>240.46</c:v>
                </c:pt>
                <c:pt idx="329">
                  <c:v>240.66</c:v>
                </c:pt>
                <c:pt idx="330">
                  <c:v>240.86</c:v>
                </c:pt>
                <c:pt idx="331">
                  <c:v>241.06</c:v>
                </c:pt>
                <c:pt idx="332">
                  <c:v>241.26</c:v>
                </c:pt>
                <c:pt idx="333">
                  <c:v>241.46</c:v>
                </c:pt>
                <c:pt idx="334">
                  <c:v>241.66</c:v>
                </c:pt>
                <c:pt idx="335">
                  <c:v>241.86</c:v>
                </c:pt>
                <c:pt idx="336">
                  <c:v>242.06</c:v>
                </c:pt>
                <c:pt idx="337">
                  <c:v>242.26</c:v>
                </c:pt>
                <c:pt idx="338">
                  <c:v>242.46</c:v>
                </c:pt>
                <c:pt idx="339">
                  <c:v>242.66</c:v>
                </c:pt>
                <c:pt idx="340">
                  <c:v>242.86</c:v>
                </c:pt>
                <c:pt idx="341">
                  <c:v>243.06</c:v>
                </c:pt>
                <c:pt idx="342">
                  <c:v>243.26</c:v>
                </c:pt>
                <c:pt idx="343">
                  <c:v>243.46</c:v>
                </c:pt>
                <c:pt idx="344">
                  <c:v>243.66</c:v>
                </c:pt>
                <c:pt idx="345">
                  <c:v>243.86</c:v>
                </c:pt>
                <c:pt idx="346">
                  <c:v>244.06</c:v>
                </c:pt>
                <c:pt idx="347">
                  <c:v>244.26</c:v>
                </c:pt>
                <c:pt idx="348">
                  <c:v>244.46</c:v>
                </c:pt>
                <c:pt idx="349">
                  <c:v>244.66</c:v>
                </c:pt>
                <c:pt idx="350">
                  <c:v>244.86</c:v>
                </c:pt>
                <c:pt idx="351">
                  <c:v>245.06</c:v>
                </c:pt>
                <c:pt idx="352">
                  <c:v>245.26</c:v>
                </c:pt>
                <c:pt idx="353">
                  <c:v>245.46</c:v>
                </c:pt>
                <c:pt idx="354">
                  <c:v>245.66</c:v>
                </c:pt>
                <c:pt idx="355">
                  <c:v>245.86</c:v>
                </c:pt>
                <c:pt idx="356">
                  <c:v>246.06</c:v>
                </c:pt>
                <c:pt idx="357">
                  <c:v>246.26</c:v>
                </c:pt>
                <c:pt idx="358">
                  <c:v>246.46</c:v>
                </c:pt>
                <c:pt idx="359">
                  <c:v>246.66</c:v>
                </c:pt>
                <c:pt idx="360">
                  <c:v>246.86</c:v>
                </c:pt>
                <c:pt idx="361">
                  <c:v>247.06</c:v>
                </c:pt>
                <c:pt idx="362">
                  <c:v>247.26</c:v>
                </c:pt>
                <c:pt idx="363">
                  <c:v>247.46</c:v>
                </c:pt>
                <c:pt idx="364">
                  <c:v>247.66</c:v>
                </c:pt>
                <c:pt idx="365">
                  <c:v>247.86</c:v>
                </c:pt>
                <c:pt idx="366">
                  <c:v>248.06</c:v>
                </c:pt>
                <c:pt idx="367">
                  <c:v>248.26</c:v>
                </c:pt>
                <c:pt idx="368">
                  <c:v>248.46</c:v>
                </c:pt>
                <c:pt idx="369">
                  <c:v>248.66</c:v>
                </c:pt>
                <c:pt idx="370">
                  <c:v>248.86</c:v>
                </c:pt>
                <c:pt idx="371">
                  <c:v>249.06</c:v>
                </c:pt>
                <c:pt idx="372">
                  <c:v>249.26</c:v>
                </c:pt>
                <c:pt idx="373">
                  <c:v>249.46</c:v>
                </c:pt>
                <c:pt idx="374">
                  <c:v>249.66</c:v>
                </c:pt>
                <c:pt idx="375">
                  <c:v>249.86</c:v>
                </c:pt>
                <c:pt idx="376">
                  <c:v>250.06</c:v>
                </c:pt>
                <c:pt idx="377">
                  <c:v>250.26</c:v>
                </c:pt>
                <c:pt idx="378">
                  <c:v>250.46</c:v>
                </c:pt>
                <c:pt idx="379">
                  <c:v>250.66</c:v>
                </c:pt>
                <c:pt idx="380">
                  <c:v>250.86</c:v>
                </c:pt>
                <c:pt idx="381">
                  <c:v>251.06</c:v>
                </c:pt>
                <c:pt idx="382">
                  <c:v>251.26</c:v>
                </c:pt>
                <c:pt idx="383">
                  <c:v>251.46</c:v>
                </c:pt>
                <c:pt idx="384">
                  <c:v>251.66</c:v>
                </c:pt>
                <c:pt idx="385">
                  <c:v>251.86</c:v>
                </c:pt>
                <c:pt idx="386">
                  <c:v>252.06</c:v>
                </c:pt>
                <c:pt idx="387">
                  <c:v>252.26</c:v>
                </c:pt>
                <c:pt idx="388">
                  <c:v>252.46</c:v>
                </c:pt>
                <c:pt idx="389">
                  <c:v>252.66</c:v>
                </c:pt>
                <c:pt idx="390">
                  <c:v>252.86</c:v>
                </c:pt>
                <c:pt idx="391">
                  <c:v>253.06</c:v>
                </c:pt>
                <c:pt idx="392">
                  <c:v>253.26</c:v>
                </c:pt>
                <c:pt idx="393">
                  <c:v>253.46</c:v>
                </c:pt>
                <c:pt idx="394">
                  <c:v>253.66</c:v>
                </c:pt>
                <c:pt idx="395">
                  <c:v>253.86</c:v>
                </c:pt>
                <c:pt idx="396">
                  <c:v>254.06</c:v>
                </c:pt>
                <c:pt idx="397">
                  <c:v>254.26</c:v>
                </c:pt>
                <c:pt idx="398">
                  <c:v>254.46</c:v>
                </c:pt>
                <c:pt idx="399">
                  <c:v>254.66</c:v>
                </c:pt>
                <c:pt idx="400">
                  <c:v>254.86</c:v>
                </c:pt>
                <c:pt idx="401">
                  <c:v>255.06</c:v>
                </c:pt>
                <c:pt idx="402">
                  <c:v>255.26</c:v>
                </c:pt>
                <c:pt idx="403">
                  <c:v>255.46</c:v>
                </c:pt>
                <c:pt idx="404">
                  <c:v>255.66</c:v>
                </c:pt>
                <c:pt idx="405">
                  <c:v>255.86</c:v>
                </c:pt>
                <c:pt idx="406">
                  <c:v>256.06</c:v>
                </c:pt>
                <c:pt idx="407">
                  <c:v>256.26</c:v>
                </c:pt>
                <c:pt idx="408">
                  <c:v>256.46</c:v>
                </c:pt>
                <c:pt idx="409">
                  <c:v>256.66</c:v>
                </c:pt>
                <c:pt idx="410">
                  <c:v>256.86</c:v>
                </c:pt>
                <c:pt idx="411">
                  <c:v>257.06</c:v>
                </c:pt>
                <c:pt idx="412">
                  <c:v>257.26</c:v>
                </c:pt>
                <c:pt idx="413">
                  <c:v>257.46</c:v>
                </c:pt>
                <c:pt idx="414">
                  <c:v>257.66</c:v>
                </c:pt>
                <c:pt idx="415">
                  <c:v>257.86</c:v>
                </c:pt>
                <c:pt idx="416">
                  <c:v>258.06</c:v>
                </c:pt>
                <c:pt idx="417">
                  <c:v>258.26</c:v>
                </c:pt>
                <c:pt idx="418">
                  <c:v>258.46</c:v>
                </c:pt>
                <c:pt idx="419">
                  <c:v>258.66</c:v>
                </c:pt>
                <c:pt idx="420">
                  <c:v>258.86</c:v>
                </c:pt>
                <c:pt idx="421">
                  <c:v>259.06</c:v>
                </c:pt>
                <c:pt idx="422">
                  <c:v>259.26</c:v>
                </c:pt>
                <c:pt idx="423">
                  <c:v>259.46</c:v>
                </c:pt>
                <c:pt idx="424">
                  <c:v>259.66</c:v>
                </c:pt>
                <c:pt idx="425">
                  <c:v>259.86</c:v>
                </c:pt>
                <c:pt idx="426">
                  <c:v>260.06</c:v>
                </c:pt>
                <c:pt idx="427">
                  <c:v>260.26</c:v>
                </c:pt>
                <c:pt idx="428">
                  <c:v>260.46</c:v>
                </c:pt>
                <c:pt idx="429">
                  <c:v>260.66</c:v>
                </c:pt>
                <c:pt idx="430">
                  <c:v>260.86</c:v>
                </c:pt>
                <c:pt idx="431">
                  <c:v>261.06</c:v>
                </c:pt>
                <c:pt idx="432">
                  <c:v>261.26</c:v>
                </c:pt>
                <c:pt idx="433">
                  <c:v>261.46</c:v>
                </c:pt>
                <c:pt idx="434">
                  <c:v>261.66</c:v>
                </c:pt>
                <c:pt idx="435">
                  <c:v>261.86</c:v>
                </c:pt>
                <c:pt idx="436">
                  <c:v>262.06</c:v>
                </c:pt>
                <c:pt idx="437">
                  <c:v>262.26</c:v>
                </c:pt>
                <c:pt idx="438">
                  <c:v>262.46</c:v>
                </c:pt>
                <c:pt idx="439">
                  <c:v>262.66</c:v>
                </c:pt>
                <c:pt idx="440">
                  <c:v>262.86</c:v>
                </c:pt>
                <c:pt idx="441">
                  <c:v>263.06</c:v>
                </c:pt>
                <c:pt idx="442">
                  <c:v>263.26</c:v>
                </c:pt>
                <c:pt idx="443">
                  <c:v>263.47</c:v>
                </c:pt>
                <c:pt idx="444">
                  <c:v>263.67</c:v>
                </c:pt>
                <c:pt idx="445">
                  <c:v>263.87</c:v>
                </c:pt>
                <c:pt idx="446">
                  <c:v>264.08</c:v>
                </c:pt>
                <c:pt idx="447">
                  <c:v>264.28</c:v>
                </c:pt>
                <c:pt idx="448">
                  <c:v>264.48</c:v>
                </c:pt>
                <c:pt idx="449">
                  <c:v>264.68</c:v>
                </c:pt>
                <c:pt idx="450">
                  <c:v>264.88</c:v>
                </c:pt>
                <c:pt idx="451">
                  <c:v>265.08</c:v>
                </c:pt>
                <c:pt idx="452">
                  <c:v>265.28</c:v>
                </c:pt>
                <c:pt idx="453">
                  <c:v>265.48</c:v>
                </c:pt>
                <c:pt idx="454">
                  <c:v>265.68</c:v>
                </c:pt>
                <c:pt idx="455">
                  <c:v>265.88</c:v>
                </c:pt>
                <c:pt idx="456">
                  <c:v>266.08</c:v>
                </c:pt>
                <c:pt idx="457">
                  <c:v>266.28</c:v>
                </c:pt>
                <c:pt idx="458">
                  <c:v>266.48</c:v>
                </c:pt>
                <c:pt idx="459">
                  <c:v>266.68</c:v>
                </c:pt>
                <c:pt idx="460">
                  <c:v>266.88</c:v>
                </c:pt>
                <c:pt idx="461">
                  <c:v>267.08</c:v>
                </c:pt>
                <c:pt idx="462">
                  <c:v>267.28</c:v>
                </c:pt>
                <c:pt idx="463">
                  <c:v>267.48</c:v>
                </c:pt>
                <c:pt idx="464">
                  <c:v>267.68</c:v>
                </c:pt>
                <c:pt idx="465">
                  <c:v>267.88</c:v>
                </c:pt>
                <c:pt idx="466">
                  <c:v>268.08</c:v>
                </c:pt>
                <c:pt idx="467">
                  <c:v>268.28</c:v>
                </c:pt>
                <c:pt idx="468">
                  <c:v>268.48</c:v>
                </c:pt>
                <c:pt idx="469">
                  <c:v>268.68</c:v>
                </c:pt>
                <c:pt idx="470">
                  <c:v>268.88</c:v>
                </c:pt>
                <c:pt idx="471">
                  <c:v>269.08</c:v>
                </c:pt>
                <c:pt idx="472">
                  <c:v>269.28</c:v>
                </c:pt>
                <c:pt idx="473">
                  <c:v>269.48</c:v>
                </c:pt>
                <c:pt idx="474">
                  <c:v>269.68</c:v>
                </c:pt>
                <c:pt idx="475">
                  <c:v>269.88</c:v>
                </c:pt>
                <c:pt idx="476">
                  <c:v>270.08</c:v>
                </c:pt>
                <c:pt idx="477">
                  <c:v>270.28</c:v>
                </c:pt>
                <c:pt idx="478">
                  <c:v>270.48</c:v>
                </c:pt>
                <c:pt idx="479">
                  <c:v>270.68</c:v>
                </c:pt>
                <c:pt idx="480">
                  <c:v>270.88</c:v>
                </c:pt>
                <c:pt idx="481">
                  <c:v>271.08</c:v>
                </c:pt>
                <c:pt idx="482">
                  <c:v>271.28</c:v>
                </c:pt>
                <c:pt idx="483">
                  <c:v>271.48</c:v>
                </c:pt>
                <c:pt idx="484">
                  <c:v>271.68</c:v>
                </c:pt>
                <c:pt idx="485">
                  <c:v>271.88</c:v>
                </c:pt>
                <c:pt idx="486">
                  <c:v>272.08</c:v>
                </c:pt>
                <c:pt idx="487">
                  <c:v>272.28</c:v>
                </c:pt>
                <c:pt idx="488">
                  <c:v>272.48</c:v>
                </c:pt>
                <c:pt idx="489">
                  <c:v>272.68</c:v>
                </c:pt>
                <c:pt idx="490">
                  <c:v>272.88</c:v>
                </c:pt>
                <c:pt idx="491">
                  <c:v>273.08</c:v>
                </c:pt>
                <c:pt idx="492">
                  <c:v>273.28</c:v>
                </c:pt>
                <c:pt idx="493">
                  <c:v>273.48</c:v>
                </c:pt>
                <c:pt idx="494">
                  <c:v>273.68</c:v>
                </c:pt>
                <c:pt idx="495">
                  <c:v>273.88</c:v>
                </c:pt>
                <c:pt idx="496">
                  <c:v>274.08</c:v>
                </c:pt>
                <c:pt idx="497">
                  <c:v>274.28</c:v>
                </c:pt>
                <c:pt idx="498">
                  <c:v>274.48</c:v>
                </c:pt>
                <c:pt idx="499">
                  <c:v>274.68</c:v>
                </c:pt>
                <c:pt idx="500">
                  <c:v>274.88</c:v>
                </c:pt>
                <c:pt idx="501">
                  <c:v>275.08</c:v>
                </c:pt>
                <c:pt idx="502">
                  <c:v>275.28</c:v>
                </c:pt>
                <c:pt idx="503">
                  <c:v>275.48</c:v>
                </c:pt>
                <c:pt idx="504">
                  <c:v>275.68</c:v>
                </c:pt>
                <c:pt idx="505">
                  <c:v>275.88</c:v>
                </c:pt>
                <c:pt idx="506">
                  <c:v>276.08</c:v>
                </c:pt>
                <c:pt idx="507">
                  <c:v>276.28</c:v>
                </c:pt>
                <c:pt idx="508">
                  <c:v>276.48</c:v>
                </c:pt>
                <c:pt idx="509">
                  <c:v>276.68</c:v>
                </c:pt>
                <c:pt idx="510">
                  <c:v>276.88</c:v>
                </c:pt>
                <c:pt idx="511">
                  <c:v>277.08</c:v>
                </c:pt>
                <c:pt idx="512">
                  <c:v>277.28</c:v>
                </c:pt>
                <c:pt idx="513">
                  <c:v>277.48</c:v>
                </c:pt>
                <c:pt idx="514">
                  <c:v>277.68</c:v>
                </c:pt>
                <c:pt idx="515">
                  <c:v>277.88</c:v>
                </c:pt>
                <c:pt idx="516">
                  <c:v>278.08</c:v>
                </c:pt>
                <c:pt idx="517">
                  <c:v>278.28</c:v>
                </c:pt>
                <c:pt idx="518">
                  <c:v>278.48</c:v>
                </c:pt>
                <c:pt idx="519">
                  <c:v>278.68</c:v>
                </c:pt>
                <c:pt idx="520">
                  <c:v>278.88</c:v>
                </c:pt>
                <c:pt idx="521">
                  <c:v>279.08</c:v>
                </c:pt>
                <c:pt idx="522">
                  <c:v>279.28</c:v>
                </c:pt>
                <c:pt idx="523">
                  <c:v>279.48</c:v>
                </c:pt>
                <c:pt idx="524">
                  <c:v>279.68</c:v>
                </c:pt>
                <c:pt idx="525">
                  <c:v>279.88</c:v>
                </c:pt>
                <c:pt idx="526">
                  <c:v>280.08</c:v>
                </c:pt>
                <c:pt idx="527">
                  <c:v>280.28</c:v>
                </c:pt>
                <c:pt idx="528">
                  <c:v>280.48</c:v>
                </c:pt>
                <c:pt idx="529">
                  <c:v>280.68</c:v>
                </c:pt>
                <c:pt idx="530">
                  <c:v>280.88</c:v>
                </c:pt>
                <c:pt idx="531">
                  <c:v>281.08</c:v>
                </c:pt>
                <c:pt idx="532">
                  <c:v>281.28</c:v>
                </c:pt>
                <c:pt idx="533">
                  <c:v>281.48</c:v>
                </c:pt>
                <c:pt idx="534">
                  <c:v>281.68</c:v>
                </c:pt>
                <c:pt idx="535">
                  <c:v>281.88</c:v>
                </c:pt>
                <c:pt idx="536">
                  <c:v>282.08</c:v>
                </c:pt>
                <c:pt idx="537">
                  <c:v>282.28</c:v>
                </c:pt>
                <c:pt idx="538">
                  <c:v>282.51</c:v>
                </c:pt>
                <c:pt idx="539">
                  <c:v>282.69</c:v>
                </c:pt>
                <c:pt idx="540">
                  <c:v>282.89</c:v>
                </c:pt>
                <c:pt idx="541">
                  <c:v>283.1</c:v>
                </c:pt>
                <c:pt idx="542">
                  <c:v>283.3</c:v>
                </c:pt>
                <c:pt idx="543">
                  <c:v>283.52</c:v>
                </c:pt>
                <c:pt idx="544">
                  <c:v>283.7</c:v>
                </c:pt>
                <c:pt idx="545">
                  <c:v>283.9</c:v>
                </c:pt>
                <c:pt idx="546">
                  <c:v>284.11</c:v>
                </c:pt>
                <c:pt idx="547">
                  <c:v>284.3</c:v>
                </c:pt>
                <c:pt idx="548">
                  <c:v>284.5</c:v>
                </c:pt>
                <c:pt idx="549">
                  <c:v>284.7</c:v>
                </c:pt>
                <c:pt idx="550">
                  <c:v>284.9</c:v>
                </c:pt>
                <c:pt idx="551">
                  <c:v>285.1</c:v>
                </c:pt>
                <c:pt idx="552">
                  <c:v>285.31</c:v>
                </c:pt>
                <c:pt idx="553">
                  <c:v>285.51</c:v>
                </c:pt>
                <c:pt idx="554">
                  <c:v>285.71</c:v>
                </c:pt>
                <c:pt idx="555">
                  <c:v>285.91</c:v>
                </c:pt>
                <c:pt idx="556">
                  <c:v>286.11</c:v>
                </c:pt>
                <c:pt idx="557">
                  <c:v>286.31</c:v>
                </c:pt>
                <c:pt idx="558">
                  <c:v>286.51</c:v>
                </c:pt>
                <c:pt idx="559">
                  <c:v>286.71</c:v>
                </c:pt>
                <c:pt idx="560">
                  <c:v>286.91</c:v>
                </c:pt>
                <c:pt idx="561">
                  <c:v>287.11</c:v>
                </c:pt>
                <c:pt idx="562">
                  <c:v>287.31</c:v>
                </c:pt>
                <c:pt idx="563">
                  <c:v>287.51</c:v>
                </c:pt>
                <c:pt idx="564">
                  <c:v>287.71</c:v>
                </c:pt>
                <c:pt idx="565">
                  <c:v>287.91</c:v>
                </c:pt>
                <c:pt idx="566">
                  <c:v>288.11</c:v>
                </c:pt>
                <c:pt idx="567">
                  <c:v>288.31</c:v>
                </c:pt>
                <c:pt idx="568">
                  <c:v>288.51</c:v>
                </c:pt>
                <c:pt idx="569">
                  <c:v>288.71</c:v>
                </c:pt>
                <c:pt idx="570">
                  <c:v>288.91</c:v>
                </c:pt>
                <c:pt idx="571">
                  <c:v>289.11</c:v>
                </c:pt>
                <c:pt idx="572">
                  <c:v>289.31</c:v>
                </c:pt>
                <c:pt idx="573">
                  <c:v>289.51</c:v>
                </c:pt>
                <c:pt idx="574">
                  <c:v>289.71</c:v>
                </c:pt>
                <c:pt idx="575">
                  <c:v>289.91</c:v>
                </c:pt>
                <c:pt idx="576">
                  <c:v>290.11</c:v>
                </c:pt>
                <c:pt idx="577">
                  <c:v>290.31</c:v>
                </c:pt>
                <c:pt idx="578">
                  <c:v>290.51</c:v>
                </c:pt>
                <c:pt idx="579">
                  <c:v>290.71</c:v>
                </c:pt>
                <c:pt idx="580">
                  <c:v>290.91</c:v>
                </c:pt>
                <c:pt idx="581">
                  <c:v>291.11</c:v>
                </c:pt>
                <c:pt idx="582">
                  <c:v>291.31</c:v>
                </c:pt>
                <c:pt idx="583">
                  <c:v>291.51</c:v>
                </c:pt>
                <c:pt idx="584">
                  <c:v>291.71</c:v>
                </c:pt>
                <c:pt idx="585">
                  <c:v>291.91</c:v>
                </c:pt>
                <c:pt idx="586">
                  <c:v>292.11</c:v>
                </c:pt>
                <c:pt idx="587">
                  <c:v>292.31</c:v>
                </c:pt>
                <c:pt idx="588">
                  <c:v>292.51</c:v>
                </c:pt>
                <c:pt idx="589">
                  <c:v>292.71</c:v>
                </c:pt>
                <c:pt idx="590">
                  <c:v>292.91</c:v>
                </c:pt>
                <c:pt idx="591">
                  <c:v>293.11</c:v>
                </c:pt>
                <c:pt idx="592">
                  <c:v>293.31</c:v>
                </c:pt>
                <c:pt idx="593">
                  <c:v>293.51</c:v>
                </c:pt>
                <c:pt idx="594">
                  <c:v>293.71</c:v>
                </c:pt>
                <c:pt idx="595">
                  <c:v>293.91</c:v>
                </c:pt>
                <c:pt idx="596">
                  <c:v>294.11</c:v>
                </c:pt>
                <c:pt idx="597">
                  <c:v>294.31</c:v>
                </c:pt>
                <c:pt idx="598">
                  <c:v>294.51</c:v>
                </c:pt>
                <c:pt idx="599">
                  <c:v>294.71</c:v>
                </c:pt>
                <c:pt idx="600">
                  <c:v>294.91</c:v>
                </c:pt>
                <c:pt idx="601">
                  <c:v>295.11</c:v>
                </c:pt>
                <c:pt idx="602">
                  <c:v>295.31</c:v>
                </c:pt>
              </c:numCache>
            </c:numRef>
          </c:xVal>
          <c:yVal>
            <c:numRef>
              <c:f>Data!$E$2:$E$604</c:f>
              <c:numCache>
                <c:formatCode>General</c:formatCode>
                <c:ptCount val="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0.095</c:v>
                </c:pt>
                <c:pt idx="39">
                  <c:v>0.136</c:v>
                </c:pt>
                <c:pt idx="40">
                  <c:v>0.027</c:v>
                </c:pt>
                <c:pt idx="41">
                  <c:v>0.027</c:v>
                </c:pt>
                <c:pt idx="42">
                  <c:v>0</c:v>
                </c:pt>
                <c:pt idx="43">
                  <c:v>0</c:v>
                </c:pt>
                <c:pt idx="44">
                  <c:v>0.027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0.027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0.027</c:v>
                </c:pt>
                <c:pt idx="66">
                  <c:v>0.027</c:v>
                </c:pt>
                <c:pt idx="67">
                  <c:v>0.04</c:v>
                </c:pt>
                <c:pt idx="68">
                  <c:v>0.027</c:v>
                </c:pt>
                <c:pt idx="69">
                  <c:v>0</c:v>
                </c:pt>
                <c:pt idx="70">
                  <c:v>0.068</c:v>
                </c:pt>
                <c:pt idx="71">
                  <c:v>0.068</c:v>
                </c:pt>
                <c:pt idx="72">
                  <c:v>0.04</c:v>
                </c:pt>
                <c:pt idx="73">
                  <c:v>0.054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0.108</c:v>
                </c:pt>
                <c:pt idx="80">
                  <c:v>0.217</c:v>
                </c:pt>
                <c:pt idx="81">
                  <c:v>0.217</c:v>
                </c:pt>
                <c:pt idx="82">
                  <c:v>0.231</c:v>
                </c:pt>
                <c:pt idx="83">
                  <c:v>0.19</c:v>
                </c:pt>
                <c:pt idx="84">
                  <c:v>0.149</c:v>
                </c:pt>
                <c:pt idx="85">
                  <c:v>0.163</c:v>
                </c:pt>
                <c:pt idx="86">
                  <c:v>0.163</c:v>
                </c:pt>
                <c:pt idx="87">
                  <c:v>0.163</c:v>
                </c:pt>
                <c:pt idx="88">
                  <c:v>0.095</c:v>
                </c:pt>
                <c:pt idx="89">
                  <c:v>0.245</c:v>
                </c:pt>
                <c:pt idx="90">
                  <c:v>0.19</c:v>
                </c:pt>
                <c:pt idx="91">
                  <c:v>0.19</c:v>
                </c:pt>
                <c:pt idx="92">
                  <c:v>0.081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0.068</c:v>
                </c:pt>
                <c:pt idx="101">
                  <c:v>0.068</c:v>
                </c:pt>
                <c:pt idx="102">
                  <c:v>0.136</c:v>
                </c:pt>
                <c:pt idx="103">
                  <c:v>0.136</c:v>
                </c:pt>
                <c:pt idx="104">
                  <c:v>0.122</c:v>
                </c:pt>
                <c:pt idx="105">
                  <c:v>0.108</c:v>
                </c:pt>
                <c:pt idx="106">
                  <c:v>0.108</c:v>
                </c:pt>
                <c:pt idx="107">
                  <c:v>0.068</c:v>
                </c:pt>
                <c:pt idx="108">
                  <c:v>0</c:v>
                </c:pt>
                <c:pt idx="109">
                  <c:v>0.04</c:v>
                </c:pt>
                <c:pt idx="110">
                  <c:v>0.027</c:v>
                </c:pt>
                <c:pt idx="111">
                  <c:v>0.027</c:v>
                </c:pt>
                <c:pt idx="112">
                  <c:v>0.04</c:v>
                </c:pt>
                <c:pt idx="113">
                  <c:v>0.068</c:v>
                </c:pt>
                <c:pt idx="114">
                  <c:v>0.108</c:v>
                </c:pt>
                <c:pt idx="115">
                  <c:v>0.081</c:v>
                </c:pt>
                <c:pt idx="116">
                  <c:v>0.081</c:v>
                </c:pt>
                <c:pt idx="117">
                  <c:v>0.136</c:v>
                </c:pt>
                <c:pt idx="118">
                  <c:v>0.081</c:v>
                </c:pt>
                <c:pt idx="119">
                  <c:v>0.04</c:v>
                </c:pt>
                <c:pt idx="120">
                  <c:v>0.068</c:v>
                </c:pt>
                <c:pt idx="121">
                  <c:v>0.068</c:v>
                </c:pt>
                <c:pt idx="122">
                  <c:v>0.054</c:v>
                </c:pt>
                <c:pt idx="123">
                  <c:v>0.122</c:v>
                </c:pt>
                <c:pt idx="124">
                  <c:v>0.136</c:v>
                </c:pt>
                <c:pt idx="125">
                  <c:v>0.163</c:v>
                </c:pt>
                <c:pt idx="126">
                  <c:v>0.163</c:v>
                </c:pt>
                <c:pt idx="127">
                  <c:v>0.149</c:v>
                </c:pt>
                <c:pt idx="128">
                  <c:v>0.217</c:v>
                </c:pt>
                <c:pt idx="129">
                  <c:v>0.204</c:v>
                </c:pt>
                <c:pt idx="130">
                  <c:v>0.285</c:v>
                </c:pt>
                <c:pt idx="131">
                  <c:v>0.285</c:v>
                </c:pt>
                <c:pt idx="132">
                  <c:v>0.299</c:v>
                </c:pt>
                <c:pt idx="133">
                  <c:v>0.19</c:v>
                </c:pt>
                <c:pt idx="134">
                  <c:v>0.081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0.013</c:v>
                </c:pt>
                <c:pt idx="230">
                  <c:v>0</c:v>
                </c:pt>
                <c:pt idx="231">
                  <c:v>0</c:v>
                </c:pt>
                <c:pt idx="232">
                  <c:v>0.013</c:v>
                </c:pt>
                <c:pt idx="233">
                  <c:v>0.027</c:v>
                </c:pt>
                <c:pt idx="234">
                  <c:v>0.027</c:v>
                </c:pt>
                <c:pt idx="235">
                  <c:v>0.118</c:v>
                </c:pt>
                <c:pt idx="236">
                  <c:v>0.118</c:v>
                </c:pt>
                <c:pt idx="237">
                  <c:v>0.027</c:v>
                </c:pt>
                <c:pt idx="238">
                  <c:v>0</c:v>
                </c:pt>
                <c:pt idx="239">
                  <c:v>0.027</c:v>
                </c:pt>
                <c:pt idx="240">
                  <c:v>0.013</c:v>
                </c:pt>
                <c:pt idx="241">
                  <c:v>0.013</c:v>
                </c:pt>
                <c:pt idx="242">
                  <c:v>0</c:v>
                </c:pt>
                <c:pt idx="243">
                  <c:v>0</c:v>
                </c:pt>
                <c:pt idx="244">
                  <c:v>0.122</c:v>
                </c:pt>
                <c:pt idx="245">
                  <c:v>0.217</c:v>
                </c:pt>
                <c:pt idx="246">
                  <c:v>0.217</c:v>
                </c:pt>
                <c:pt idx="247">
                  <c:v>0.19</c:v>
                </c:pt>
                <c:pt idx="248">
                  <c:v>0.176</c:v>
                </c:pt>
                <c:pt idx="249">
                  <c:v>0.19</c:v>
                </c:pt>
                <c:pt idx="250">
                  <c:v>0.19</c:v>
                </c:pt>
                <c:pt idx="251">
                  <c:v>0.19</c:v>
                </c:pt>
                <c:pt idx="252">
                  <c:v>0.149</c:v>
                </c:pt>
                <c:pt idx="253">
                  <c:v>0.027</c:v>
                </c:pt>
                <c:pt idx="254">
                  <c:v>0</c:v>
                </c:pt>
                <c:pt idx="255">
                  <c:v>0.013</c:v>
                </c:pt>
                <c:pt idx="256">
                  <c:v>0.013</c:v>
                </c:pt>
                <c:pt idx="257">
                  <c:v>0.258</c:v>
                </c:pt>
                <c:pt idx="258">
                  <c:v>0.231</c:v>
                </c:pt>
                <c:pt idx="259">
                  <c:v>0.258</c:v>
                </c:pt>
                <c:pt idx="260">
                  <c:v>0.326</c:v>
                </c:pt>
                <c:pt idx="261">
                  <c:v>0.326</c:v>
                </c:pt>
                <c:pt idx="262">
                  <c:v>0.299</c:v>
                </c:pt>
                <c:pt idx="263">
                  <c:v>0.258</c:v>
                </c:pt>
                <c:pt idx="264">
                  <c:v>0.19</c:v>
                </c:pt>
                <c:pt idx="265">
                  <c:v>0.068</c:v>
                </c:pt>
                <c:pt idx="266">
                  <c:v>0.068</c:v>
                </c:pt>
                <c:pt idx="267">
                  <c:v>0.013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0.149</c:v>
                </c:pt>
                <c:pt idx="273">
                  <c:v>0.285</c:v>
                </c:pt>
                <c:pt idx="274">
                  <c:v>0.34</c:v>
                </c:pt>
                <c:pt idx="275">
                  <c:v>0.353</c:v>
                </c:pt>
                <c:pt idx="276">
                  <c:v>0.353</c:v>
                </c:pt>
                <c:pt idx="277">
                  <c:v>0.353</c:v>
                </c:pt>
                <c:pt idx="278">
                  <c:v>0.326</c:v>
                </c:pt>
                <c:pt idx="279">
                  <c:v>0.163</c:v>
                </c:pt>
                <c:pt idx="280">
                  <c:v>0.068</c:v>
                </c:pt>
                <c:pt idx="281">
                  <c:v>0.068</c:v>
                </c:pt>
                <c:pt idx="282">
                  <c:v>0.013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0.027</c:v>
                </c:pt>
                <c:pt idx="319">
                  <c:v>0.013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0.013</c:v>
                </c:pt>
                <c:pt idx="444">
                  <c:v>0</c:v>
                </c:pt>
                <c:pt idx="445">
                  <c:v>0.095</c:v>
                </c:pt>
                <c:pt idx="446">
                  <c:v>0.095</c:v>
                </c:pt>
                <c:pt idx="447">
                  <c:v>0.204</c:v>
                </c:pt>
                <c:pt idx="448">
                  <c:v>0.585</c:v>
                </c:pt>
                <c:pt idx="449">
                  <c:v>0.68</c:v>
                </c:pt>
                <c:pt idx="450">
                  <c:v>0.517</c:v>
                </c:pt>
                <c:pt idx="451">
                  <c:v>0.517</c:v>
                </c:pt>
                <c:pt idx="452">
                  <c:v>0.667</c:v>
                </c:pt>
                <c:pt idx="453">
                  <c:v>0.694</c:v>
                </c:pt>
                <c:pt idx="454">
                  <c:v>0.53</c:v>
                </c:pt>
                <c:pt idx="455">
                  <c:v>0.367</c:v>
                </c:pt>
                <c:pt idx="456">
                  <c:v>0.367</c:v>
                </c:pt>
                <c:pt idx="457">
                  <c:v>0.326</c:v>
                </c:pt>
                <c:pt idx="458">
                  <c:v>0.353</c:v>
                </c:pt>
                <c:pt idx="459">
                  <c:v>0.49</c:v>
                </c:pt>
                <c:pt idx="460">
                  <c:v>0.68</c:v>
                </c:pt>
                <c:pt idx="461">
                  <c:v>0.68</c:v>
                </c:pt>
                <c:pt idx="462">
                  <c:v>0.721</c:v>
                </c:pt>
                <c:pt idx="463">
                  <c:v>0.68</c:v>
                </c:pt>
                <c:pt idx="464">
                  <c:v>0.707</c:v>
                </c:pt>
                <c:pt idx="465">
                  <c:v>0.612</c:v>
                </c:pt>
                <c:pt idx="466">
                  <c:v>0.612</c:v>
                </c:pt>
                <c:pt idx="467">
                  <c:v>0.558</c:v>
                </c:pt>
                <c:pt idx="468">
                  <c:v>0.503</c:v>
                </c:pt>
                <c:pt idx="469">
                  <c:v>0.462</c:v>
                </c:pt>
                <c:pt idx="470">
                  <c:v>0.435</c:v>
                </c:pt>
                <c:pt idx="471">
                  <c:v>0.435</c:v>
                </c:pt>
                <c:pt idx="472">
                  <c:v>0.449</c:v>
                </c:pt>
                <c:pt idx="473">
                  <c:v>0.422</c:v>
                </c:pt>
                <c:pt idx="474">
                  <c:v>0.462</c:v>
                </c:pt>
                <c:pt idx="475">
                  <c:v>0.422</c:v>
                </c:pt>
                <c:pt idx="476">
                  <c:v>0.422</c:v>
                </c:pt>
                <c:pt idx="477">
                  <c:v>0.435</c:v>
                </c:pt>
                <c:pt idx="478">
                  <c:v>0.449</c:v>
                </c:pt>
                <c:pt idx="479">
                  <c:v>0.435</c:v>
                </c:pt>
                <c:pt idx="480">
                  <c:v>0.449</c:v>
                </c:pt>
                <c:pt idx="481">
                  <c:v>0.449</c:v>
                </c:pt>
                <c:pt idx="482">
                  <c:v>0.408</c:v>
                </c:pt>
                <c:pt idx="483">
                  <c:v>0.381</c:v>
                </c:pt>
                <c:pt idx="484">
                  <c:v>0.503</c:v>
                </c:pt>
                <c:pt idx="485">
                  <c:v>0.68</c:v>
                </c:pt>
                <c:pt idx="486">
                  <c:v>0.68</c:v>
                </c:pt>
                <c:pt idx="487">
                  <c:v>0.571</c:v>
                </c:pt>
                <c:pt idx="488">
                  <c:v>0.503</c:v>
                </c:pt>
                <c:pt idx="489">
                  <c:v>0.476</c:v>
                </c:pt>
                <c:pt idx="490">
                  <c:v>0.49</c:v>
                </c:pt>
                <c:pt idx="491">
                  <c:v>0.49</c:v>
                </c:pt>
                <c:pt idx="492">
                  <c:v>0.639</c:v>
                </c:pt>
                <c:pt idx="493">
                  <c:v>0.694</c:v>
                </c:pt>
                <c:pt idx="494">
                  <c:v>0.68</c:v>
                </c:pt>
                <c:pt idx="495">
                  <c:v>0.68</c:v>
                </c:pt>
                <c:pt idx="496">
                  <c:v>0.68</c:v>
                </c:pt>
                <c:pt idx="497">
                  <c:v>0.598</c:v>
                </c:pt>
                <c:pt idx="498">
                  <c:v>0.34</c:v>
                </c:pt>
                <c:pt idx="499">
                  <c:v>0.353</c:v>
                </c:pt>
                <c:pt idx="500">
                  <c:v>0.353</c:v>
                </c:pt>
                <c:pt idx="501">
                  <c:v>0.353</c:v>
                </c:pt>
                <c:pt idx="502">
                  <c:v>0.258</c:v>
                </c:pt>
                <c:pt idx="503">
                  <c:v>0.136</c:v>
                </c:pt>
                <c:pt idx="504">
                  <c:v>0.013</c:v>
                </c:pt>
                <c:pt idx="505">
                  <c:v>0.013</c:v>
                </c:pt>
                <c:pt idx="506">
                  <c:v>0.013</c:v>
                </c:pt>
                <c:pt idx="507">
                  <c:v>0.122</c:v>
                </c:pt>
                <c:pt idx="508">
                  <c:v>0.299</c:v>
                </c:pt>
                <c:pt idx="509">
                  <c:v>0.394</c:v>
                </c:pt>
                <c:pt idx="510">
                  <c:v>0.408</c:v>
                </c:pt>
                <c:pt idx="511">
                  <c:v>0.408</c:v>
                </c:pt>
                <c:pt idx="512">
                  <c:v>0.707</c:v>
                </c:pt>
                <c:pt idx="513">
                  <c:v>0.694</c:v>
                </c:pt>
                <c:pt idx="514">
                  <c:v>0.735</c:v>
                </c:pt>
                <c:pt idx="515">
                  <c:v>0.735</c:v>
                </c:pt>
                <c:pt idx="516">
                  <c:v>0.735</c:v>
                </c:pt>
                <c:pt idx="517">
                  <c:v>0.598</c:v>
                </c:pt>
                <c:pt idx="518">
                  <c:v>0.49</c:v>
                </c:pt>
                <c:pt idx="519">
                  <c:v>0.53</c:v>
                </c:pt>
                <c:pt idx="520">
                  <c:v>0.381</c:v>
                </c:pt>
                <c:pt idx="521">
                  <c:v>0.381</c:v>
                </c:pt>
                <c:pt idx="522">
                  <c:v>0.136</c:v>
                </c:pt>
                <c:pt idx="523">
                  <c:v>0.04</c:v>
                </c:pt>
                <c:pt idx="524">
                  <c:v>0</c:v>
                </c:pt>
                <c:pt idx="525">
                  <c:v>0.027</c:v>
                </c:pt>
                <c:pt idx="526">
                  <c:v>0.027</c:v>
                </c:pt>
                <c:pt idx="527">
                  <c:v>0.231</c:v>
                </c:pt>
                <c:pt idx="528">
                  <c:v>0.503</c:v>
                </c:pt>
                <c:pt idx="529">
                  <c:v>0.694</c:v>
                </c:pt>
                <c:pt idx="530">
                  <c:v>0.68</c:v>
                </c:pt>
                <c:pt idx="531">
                  <c:v>0.68</c:v>
                </c:pt>
                <c:pt idx="532">
                  <c:v>0.544</c:v>
                </c:pt>
                <c:pt idx="533">
                  <c:v>0.68</c:v>
                </c:pt>
                <c:pt idx="534">
                  <c:v>0.694</c:v>
                </c:pt>
                <c:pt idx="535">
                  <c:v>0.694</c:v>
                </c:pt>
                <c:pt idx="536">
                  <c:v>0.694</c:v>
                </c:pt>
                <c:pt idx="537">
                  <c:v>0.68</c:v>
                </c:pt>
                <c:pt idx="538">
                  <c:v>0.585</c:v>
                </c:pt>
                <c:pt idx="539">
                  <c:v>0.653</c:v>
                </c:pt>
                <c:pt idx="540">
                  <c:v>0.367</c:v>
                </c:pt>
                <c:pt idx="541">
                  <c:v>0.367</c:v>
                </c:pt>
                <c:pt idx="542">
                  <c:v>0.136</c:v>
                </c:pt>
                <c:pt idx="543">
                  <c:v>0</c:v>
                </c:pt>
                <c:pt idx="544">
                  <c:v>0.013</c:v>
                </c:pt>
                <c:pt idx="545">
                  <c:v>0.353</c:v>
                </c:pt>
                <c:pt idx="546">
                  <c:v>0.598</c:v>
                </c:pt>
                <c:pt idx="547">
                  <c:v>0.598</c:v>
                </c:pt>
                <c:pt idx="548">
                  <c:v>0.694</c:v>
                </c:pt>
                <c:pt idx="549">
                  <c:v>0.68</c:v>
                </c:pt>
                <c:pt idx="550">
                  <c:v>0.653</c:v>
                </c:pt>
                <c:pt idx="551">
                  <c:v>0.694</c:v>
                </c:pt>
                <c:pt idx="552">
                  <c:v>0.694</c:v>
                </c:pt>
                <c:pt idx="553">
                  <c:v>0.694</c:v>
                </c:pt>
                <c:pt idx="554">
                  <c:v>0.68</c:v>
                </c:pt>
                <c:pt idx="555">
                  <c:v>0.696</c:v>
                </c:pt>
                <c:pt idx="556">
                  <c:v>0.517</c:v>
                </c:pt>
                <c:pt idx="557">
                  <c:v>0.517</c:v>
                </c:pt>
                <c:pt idx="558">
                  <c:v>0.231</c:v>
                </c:pt>
                <c:pt idx="559">
                  <c:v>0.04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</c:numCache>
            </c:numRef>
          </c:yVal>
          <c:smooth val="0"/>
        </c:ser>
        <c:axId val="4846506"/>
        <c:axId val="31711744"/>
      </c:scatterChart>
      <c:valAx>
        <c:axId val="4846506"/>
        <c:scaling>
          <c:orientation val="minMax"/>
          <c:max val="300"/>
          <c:min val="17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 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11744"/>
        <c:crosses val="autoZero"/>
        <c:crossBetween val="midCat"/>
      </c:valAx>
      <c:valAx>
        <c:axId val="31711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650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PV power vs load power over the whole log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58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Data!$A$2:$A$604</c:f>
              <c:numCache>
                <c:formatCode>General</c:formatCode>
                <c:ptCount val="603"/>
                <c:pt idx="0">
                  <c:v>174.84</c:v>
                </c:pt>
                <c:pt idx="1">
                  <c:v>175.03</c:v>
                </c:pt>
                <c:pt idx="2">
                  <c:v>175.24</c:v>
                </c:pt>
                <c:pt idx="3">
                  <c:v>175.44</c:v>
                </c:pt>
                <c:pt idx="4">
                  <c:v>175.63</c:v>
                </c:pt>
                <c:pt idx="5">
                  <c:v>175.84</c:v>
                </c:pt>
                <c:pt idx="6">
                  <c:v>176.03</c:v>
                </c:pt>
                <c:pt idx="7">
                  <c:v>176.24</c:v>
                </c:pt>
                <c:pt idx="8">
                  <c:v>176.44</c:v>
                </c:pt>
                <c:pt idx="9">
                  <c:v>176.63</c:v>
                </c:pt>
                <c:pt idx="10">
                  <c:v>176.84</c:v>
                </c:pt>
                <c:pt idx="11">
                  <c:v>177.03</c:v>
                </c:pt>
                <c:pt idx="12">
                  <c:v>177.24</c:v>
                </c:pt>
                <c:pt idx="13">
                  <c:v>177.44</c:v>
                </c:pt>
                <c:pt idx="14">
                  <c:v>177.63</c:v>
                </c:pt>
                <c:pt idx="15">
                  <c:v>177.84</c:v>
                </c:pt>
                <c:pt idx="16">
                  <c:v>178.03</c:v>
                </c:pt>
                <c:pt idx="17">
                  <c:v>178.24</c:v>
                </c:pt>
                <c:pt idx="18">
                  <c:v>178.44</c:v>
                </c:pt>
                <c:pt idx="19">
                  <c:v>178.63</c:v>
                </c:pt>
                <c:pt idx="20">
                  <c:v>178.83</c:v>
                </c:pt>
                <c:pt idx="21">
                  <c:v>179.03</c:v>
                </c:pt>
                <c:pt idx="22">
                  <c:v>179.23</c:v>
                </c:pt>
                <c:pt idx="23">
                  <c:v>179.44</c:v>
                </c:pt>
                <c:pt idx="24">
                  <c:v>179.64</c:v>
                </c:pt>
                <c:pt idx="25">
                  <c:v>179.84</c:v>
                </c:pt>
                <c:pt idx="26">
                  <c:v>180.04</c:v>
                </c:pt>
                <c:pt idx="27">
                  <c:v>180.24</c:v>
                </c:pt>
                <c:pt idx="28">
                  <c:v>180.44</c:v>
                </c:pt>
                <c:pt idx="29">
                  <c:v>180.64</c:v>
                </c:pt>
                <c:pt idx="30">
                  <c:v>180.84</c:v>
                </c:pt>
                <c:pt idx="31">
                  <c:v>181.04</c:v>
                </c:pt>
                <c:pt idx="32">
                  <c:v>181.24</c:v>
                </c:pt>
                <c:pt idx="33">
                  <c:v>181.44</c:v>
                </c:pt>
                <c:pt idx="34">
                  <c:v>181.64</c:v>
                </c:pt>
                <c:pt idx="35">
                  <c:v>181.84</c:v>
                </c:pt>
                <c:pt idx="36">
                  <c:v>182.04</c:v>
                </c:pt>
                <c:pt idx="37">
                  <c:v>182.24</c:v>
                </c:pt>
                <c:pt idx="38">
                  <c:v>182.44</c:v>
                </c:pt>
                <c:pt idx="39">
                  <c:v>182.64</c:v>
                </c:pt>
                <c:pt idx="40">
                  <c:v>182.84</c:v>
                </c:pt>
                <c:pt idx="41">
                  <c:v>183.04</c:v>
                </c:pt>
                <c:pt idx="42">
                  <c:v>183.24</c:v>
                </c:pt>
                <c:pt idx="43">
                  <c:v>183.44</c:v>
                </c:pt>
                <c:pt idx="44">
                  <c:v>183.64</c:v>
                </c:pt>
                <c:pt idx="45">
                  <c:v>183.84</c:v>
                </c:pt>
                <c:pt idx="46">
                  <c:v>184.03</c:v>
                </c:pt>
                <c:pt idx="47">
                  <c:v>184.23</c:v>
                </c:pt>
                <c:pt idx="48">
                  <c:v>184.43</c:v>
                </c:pt>
                <c:pt idx="49">
                  <c:v>184.63</c:v>
                </c:pt>
                <c:pt idx="50">
                  <c:v>184.83</c:v>
                </c:pt>
                <c:pt idx="51">
                  <c:v>185.03</c:v>
                </c:pt>
                <c:pt idx="52">
                  <c:v>185.24</c:v>
                </c:pt>
                <c:pt idx="53">
                  <c:v>185.44</c:v>
                </c:pt>
                <c:pt idx="54">
                  <c:v>185.64</c:v>
                </c:pt>
                <c:pt idx="55">
                  <c:v>185.84</c:v>
                </c:pt>
                <c:pt idx="56">
                  <c:v>186.04</c:v>
                </c:pt>
                <c:pt idx="57">
                  <c:v>186.24</c:v>
                </c:pt>
                <c:pt idx="58">
                  <c:v>186.44</c:v>
                </c:pt>
                <c:pt idx="59">
                  <c:v>186.64</c:v>
                </c:pt>
                <c:pt idx="60">
                  <c:v>186.84</c:v>
                </c:pt>
                <c:pt idx="61">
                  <c:v>187.04</c:v>
                </c:pt>
                <c:pt idx="62">
                  <c:v>187.24</c:v>
                </c:pt>
                <c:pt idx="63">
                  <c:v>187.44</c:v>
                </c:pt>
                <c:pt idx="64">
                  <c:v>187.64</c:v>
                </c:pt>
                <c:pt idx="65">
                  <c:v>187.84</c:v>
                </c:pt>
                <c:pt idx="66">
                  <c:v>188.04</c:v>
                </c:pt>
                <c:pt idx="67">
                  <c:v>188.24</c:v>
                </c:pt>
                <c:pt idx="68">
                  <c:v>188.44</c:v>
                </c:pt>
                <c:pt idx="69">
                  <c:v>188.64</c:v>
                </c:pt>
                <c:pt idx="70">
                  <c:v>188.84</c:v>
                </c:pt>
                <c:pt idx="71">
                  <c:v>189.04</c:v>
                </c:pt>
                <c:pt idx="72">
                  <c:v>189.24</c:v>
                </c:pt>
                <c:pt idx="73">
                  <c:v>189.44</c:v>
                </c:pt>
                <c:pt idx="74">
                  <c:v>189.64</c:v>
                </c:pt>
                <c:pt idx="75">
                  <c:v>189.84</c:v>
                </c:pt>
                <c:pt idx="76">
                  <c:v>190.04</c:v>
                </c:pt>
                <c:pt idx="77">
                  <c:v>190.24</c:v>
                </c:pt>
                <c:pt idx="78">
                  <c:v>190.44</c:v>
                </c:pt>
                <c:pt idx="79">
                  <c:v>190.64</c:v>
                </c:pt>
                <c:pt idx="80">
                  <c:v>190.84</c:v>
                </c:pt>
                <c:pt idx="81">
                  <c:v>191.04</c:v>
                </c:pt>
                <c:pt idx="82">
                  <c:v>191.24</c:v>
                </c:pt>
                <c:pt idx="83">
                  <c:v>191.44</c:v>
                </c:pt>
                <c:pt idx="84">
                  <c:v>191.64</c:v>
                </c:pt>
                <c:pt idx="85">
                  <c:v>191.84</c:v>
                </c:pt>
                <c:pt idx="86">
                  <c:v>192.04</c:v>
                </c:pt>
                <c:pt idx="87">
                  <c:v>192.24</c:v>
                </c:pt>
                <c:pt idx="88">
                  <c:v>192.44</c:v>
                </c:pt>
                <c:pt idx="89">
                  <c:v>192.64</c:v>
                </c:pt>
                <c:pt idx="90">
                  <c:v>192.84</c:v>
                </c:pt>
                <c:pt idx="91">
                  <c:v>193.04</c:v>
                </c:pt>
                <c:pt idx="92">
                  <c:v>193.24</c:v>
                </c:pt>
                <c:pt idx="93">
                  <c:v>193.44</c:v>
                </c:pt>
                <c:pt idx="94">
                  <c:v>193.64</c:v>
                </c:pt>
                <c:pt idx="95">
                  <c:v>193.84</c:v>
                </c:pt>
                <c:pt idx="96">
                  <c:v>194.04</c:v>
                </c:pt>
                <c:pt idx="97">
                  <c:v>194.24</c:v>
                </c:pt>
                <c:pt idx="98">
                  <c:v>194.44</c:v>
                </c:pt>
                <c:pt idx="99">
                  <c:v>194.64</c:v>
                </c:pt>
                <c:pt idx="100">
                  <c:v>194.84</c:v>
                </c:pt>
                <c:pt idx="101">
                  <c:v>195.04</c:v>
                </c:pt>
                <c:pt idx="102">
                  <c:v>195.24</c:v>
                </c:pt>
                <c:pt idx="103">
                  <c:v>195.44</c:v>
                </c:pt>
                <c:pt idx="104">
                  <c:v>195.64</c:v>
                </c:pt>
                <c:pt idx="105">
                  <c:v>195.84</c:v>
                </c:pt>
                <c:pt idx="106">
                  <c:v>196.04</c:v>
                </c:pt>
                <c:pt idx="107">
                  <c:v>196.24</c:v>
                </c:pt>
                <c:pt idx="108">
                  <c:v>196.44</c:v>
                </c:pt>
                <c:pt idx="109">
                  <c:v>196.64</c:v>
                </c:pt>
                <c:pt idx="110">
                  <c:v>196.84</c:v>
                </c:pt>
                <c:pt idx="111">
                  <c:v>197.04</c:v>
                </c:pt>
                <c:pt idx="112">
                  <c:v>197.24</c:v>
                </c:pt>
                <c:pt idx="113">
                  <c:v>197.44</c:v>
                </c:pt>
                <c:pt idx="114">
                  <c:v>197.64</c:v>
                </c:pt>
                <c:pt idx="115">
                  <c:v>197.84</c:v>
                </c:pt>
                <c:pt idx="116">
                  <c:v>198.04</c:v>
                </c:pt>
                <c:pt idx="117">
                  <c:v>198.24</c:v>
                </c:pt>
                <c:pt idx="118">
                  <c:v>198.44</c:v>
                </c:pt>
                <c:pt idx="119">
                  <c:v>198.64</c:v>
                </c:pt>
                <c:pt idx="120">
                  <c:v>198.84</c:v>
                </c:pt>
                <c:pt idx="121">
                  <c:v>199.04</c:v>
                </c:pt>
                <c:pt idx="122">
                  <c:v>199.24</c:v>
                </c:pt>
                <c:pt idx="123">
                  <c:v>199.44</c:v>
                </c:pt>
                <c:pt idx="124">
                  <c:v>199.64</c:v>
                </c:pt>
                <c:pt idx="125">
                  <c:v>199.84</c:v>
                </c:pt>
                <c:pt idx="126">
                  <c:v>200.04</c:v>
                </c:pt>
                <c:pt idx="127">
                  <c:v>200.24</c:v>
                </c:pt>
                <c:pt idx="128">
                  <c:v>200.44</c:v>
                </c:pt>
                <c:pt idx="129">
                  <c:v>200.64</c:v>
                </c:pt>
                <c:pt idx="130">
                  <c:v>200.84</c:v>
                </c:pt>
                <c:pt idx="131">
                  <c:v>201.04</c:v>
                </c:pt>
                <c:pt idx="132">
                  <c:v>201.24</c:v>
                </c:pt>
                <c:pt idx="133">
                  <c:v>201.44</c:v>
                </c:pt>
                <c:pt idx="134">
                  <c:v>201.64</c:v>
                </c:pt>
                <c:pt idx="135">
                  <c:v>201.84</c:v>
                </c:pt>
                <c:pt idx="136">
                  <c:v>202.04</c:v>
                </c:pt>
                <c:pt idx="137">
                  <c:v>202.24</c:v>
                </c:pt>
                <c:pt idx="138">
                  <c:v>202.44</c:v>
                </c:pt>
                <c:pt idx="139">
                  <c:v>202.64</c:v>
                </c:pt>
                <c:pt idx="140">
                  <c:v>202.84</c:v>
                </c:pt>
                <c:pt idx="141">
                  <c:v>203.04</c:v>
                </c:pt>
                <c:pt idx="142">
                  <c:v>203.24</c:v>
                </c:pt>
                <c:pt idx="143">
                  <c:v>203.44</c:v>
                </c:pt>
                <c:pt idx="144">
                  <c:v>203.64</c:v>
                </c:pt>
                <c:pt idx="145">
                  <c:v>203.84</c:v>
                </c:pt>
                <c:pt idx="146">
                  <c:v>204.04</c:v>
                </c:pt>
                <c:pt idx="147">
                  <c:v>204.24</c:v>
                </c:pt>
                <c:pt idx="148">
                  <c:v>204.44</c:v>
                </c:pt>
                <c:pt idx="149">
                  <c:v>204.64</c:v>
                </c:pt>
                <c:pt idx="150">
                  <c:v>204.84</c:v>
                </c:pt>
                <c:pt idx="151">
                  <c:v>205.04</c:v>
                </c:pt>
                <c:pt idx="152">
                  <c:v>205.24</c:v>
                </c:pt>
                <c:pt idx="153">
                  <c:v>205.44</c:v>
                </c:pt>
                <c:pt idx="154">
                  <c:v>205.64</c:v>
                </c:pt>
                <c:pt idx="155">
                  <c:v>205.84</c:v>
                </c:pt>
                <c:pt idx="156">
                  <c:v>206.04</c:v>
                </c:pt>
                <c:pt idx="157">
                  <c:v>206.24</c:v>
                </c:pt>
                <c:pt idx="158">
                  <c:v>206.44</c:v>
                </c:pt>
                <c:pt idx="159">
                  <c:v>206.64</c:v>
                </c:pt>
                <c:pt idx="160">
                  <c:v>206.84</c:v>
                </c:pt>
                <c:pt idx="161">
                  <c:v>207.04</c:v>
                </c:pt>
                <c:pt idx="162">
                  <c:v>207.24</c:v>
                </c:pt>
                <c:pt idx="163">
                  <c:v>207.44</c:v>
                </c:pt>
                <c:pt idx="164">
                  <c:v>207.64</c:v>
                </c:pt>
                <c:pt idx="165">
                  <c:v>207.84</c:v>
                </c:pt>
                <c:pt idx="166">
                  <c:v>208.04</c:v>
                </c:pt>
                <c:pt idx="167">
                  <c:v>208.24</c:v>
                </c:pt>
                <c:pt idx="168">
                  <c:v>208.44</c:v>
                </c:pt>
                <c:pt idx="169">
                  <c:v>208.64</c:v>
                </c:pt>
                <c:pt idx="170">
                  <c:v>208.84</c:v>
                </c:pt>
                <c:pt idx="171">
                  <c:v>209.04</c:v>
                </c:pt>
                <c:pt idx="172">
                  <c:v>209.24</c:v>
                </c:pt>
                <c:pt idx="173">
                  <c:v>209.44</c:v>
                </c:pt>
                <c:pt idx="174">
                  <c:v>209.64</c:v>
                </c:pt>
                <c:pt idx="175">
                  <c:v>209.84</c:v>
                </c:pt>
                <c:pt idx="176">
                  <c:v>210.04</c:v>
                </c:pt>
                <c:pt idx="177">
                  <c:v>210.24</c:v>
                </c:pt>
                <c:pt idx="178">
                  <c:v>210.44</c:v>
                </c:pt>
                <c:pt idx="179">
                  <c:v>210.64</c:v>
                </c:pt>
                <c:pt idx="180">
                  <c:v>210.84</c:v>
                </c:pt>
                <c:pt idx="181">
                  <c:v>211.04</c:v>
                </c:pt>
                <c:pt idx="182">
                  <c:v>211.24</c:v>
                </c:pt>
                <c:pt idx="183">
                  <c:v>211.44</c:v>
                </c:pt>
                <c:pt idx="184">
                  <c:v>211.64</c:v>
                </c:pt>
                <c:pt idx="185">
                  <c:v>211.84</c:v>
                </c:pt>
                <c:pt idx="186">
                  <c:v>212.04</c:v>
                </c:pt>
                <c:pt idx="187">
                  <c:v>212.24</c:v>
                </c:pt>
                <c:pt idx="188">
                  <c:v>212.44</c:v>
                </c:pt>
                <c:pt idx="189">
                  <c:v>212.64</c:v>
                </c:pt>
                <c:pt idx="190">
                  <c:v>212.84</c:v>
                </c:pt>
                <c:pt idx="191">
                  <c:v>213.04</c:v>
                </c:pt>
                <c:pt idx="192">
                  <c:v>213.24</c:v>
                </c:pt>
                <c:pt idx="193">
                  <c:v>213.44</c:v>
                </c:pt>
                <c:pt idx="194">
                  <c:v>213.64</c:v>
                </c:pt>
                <c:pt idx="195">
                  <c:v>213.84</c:v>
                </c:pt>
                <c:pt idx="196">
                  <c:v>214.04</c:v>
                </c:pt>
                <c:pt idx="197">
                  <c:v>214.24</c:v>
                </c:pt>
                <c:pt idx="198">
                  <c:v>214.44</c:v>
                </c:pt>
                <c:pt idx="199">
                  <c:v>214.64</c:v>
                </c:pt>
                <c:pt idx="200">
                  <c:v>214.84</c:v>
                </c:pt>
                <c:pt idx="201">
                  <c:v>215.04</c:v>
                </c:pt>
                <c:pt idx="202">
                  <c:v>215.24</c:v>
                </c:pt>
                <c:pt idx="203">
                  <c:v>215.44</c:v>
                </c:pt>
                <c:pt idx="204">
                  <c:v>215.64</c:v>
                </c:pt>
                <c:pt idx="205">
                  <c:v>215.84</c:v>
                </c:pt>
                <c:pt idx="206">
                  <c:v>216.04</c:v>
                </c:pt>
                <c:pt idx="207">
                  <c:v>216.24</c:v>
                </c:pt>
                <c:pt idx="208">
                  <c:v>216.44</c:v>
                </c:pt>
                <c:pt idx="209">
                  <c:v>216.64</c:v>
                </c:pt>
                <c:pt idx="210">
                  <c:v>216.84</c:v>
                </c:pt>
                <c:pt idx="211">
                  <c:v>217.04</c:v>
                </c:pt>
                <c:pt idx="212">
                  <c:v>217.24</c:v>
                </c:pt>
                <c:pt idx="213">
                  <c:v>217.44</c:v>
                </c:pt>
                <c:pt idx="214">
                  <c:v>217.64</c:v>
                </c:pt>
                <c:pt idx="215">
                  <c:v>217.84</c:v>
                </c:pt>
                <c:pt idx="216">
                  <c:v>218.04</c:v>
                </c:pt>
                <c:pt idx="217">
                  <c:v>218.24</c:v>
                </c:pt>
                <c:pt idx="218">
                  <c:v>218.44</c:v>
                </c:pt>
                <c:pt idx="219">
                  <c:v>218.64</c:v>
                </c:pt>
                <c:pt idx="220">
                  <c:v>218.84</c:v>
                </c:pt>
                <c:pt idx="221">
                  <c:v>219.04</c:v>
                </c:pt>
                <c:pt idx="222">
                  <c:v>219.24</c:v>
                </c:pt>
                <c:pt idx="223">
                  <c:v>219.44</c:v>
                </c:pt>
                <c:pt idx="224">
                  <c:v>219.64</c:v>
                </c:pt>
                <c:pt idx="225">
                  <c:v>219.84</c:v>
                </c:pt>
                <c:pt idx="226">
                  <c:v>220.04</c:v>
                </c:pt>
                <c:pt idx="227">
                  <c:v>220.24</c:v>
                </c:pt>
                <c:pt idx="228">
                  <c:v>220.44</c:v>
                </c:pt>
                <c:pt idx="229">
                  <c:v>220.64</c:v>
                </c:pt>
                <c:pt idx="230">
                  <c:v>220.84</c:v>
                </c:pt>
                <c:pt idx="231">
                  <c:v>221.04</c:v>
                </c:pt>
                <c:pt idx="232">
                  <c:v>221.24</c:v>
                </c:pt>
                <c:pt idx="233">
                  <c:v>221.44</c:v>
                </c:pt>
                <c:pt idx="234">
                  <c:v>221.64</c:v>
                </c:pt>
                <c:pt idx="235">
                  <c:v>221.84</c:v>
                </c:pt>
                <c:pt idx="236">
                  <c:v>222.04</c:v>
                </c:pt>
                <c:pt idx="237">
                  <c:v>222.25</c:v>
                </c:pt>
                <c:pt idx="238">
                  <c:v>222.45</c:v>
                </c:pt>
                <c:pt idx="239">
                  <c:v>222.65</c:v>
                </c:pt>
                <c:pt idx="240">
                  <c:v>222.85</c:v>
                </c:pt>
                <c:pt idx="241">
                  <c:v>223.05</c:v>
                </c:pt>
                <c:pt idx="242">
                  <c:v>223.27</c:v>
                </c:pt>
                <c:pt idx="243">
                  <c:v>223.46</c:v>
                </c:pt>
                <c:pt idx="244">
                  <c:v>223.66</c:v>
                </c:pt>
                <c:pt idx="245">
                  <c:v>223.86</c:v>
                </c:pt>
                <c:pt idx="246">
                  <c:v>224.06</c:v>
                </c:pt>
                <c:pt idx="247">
                  <c:v>224.26</c:v>
                </c:pt>
                <c:pt idx="248">
                  <c:v>224.46</c:v>
                </c:pt>
                <c:pt idx="249">
                  <c:v>224.66</c:v>
                </c:pt>
                <c:pt idx="250">
                  <c:v>224.86</c:v>
                </c:pt>
                <c:pt idx="251">
                  <c:v>225.06</c:v>
                </c:pt>
                <c:pt idx="252">
                  <c:v>225.26</c:v>
                </c:pt>
                <c:pt idx="253">
                  <c:v>225.46</c:v>
                </c:pt>
                <c:pt idx="254">
                  <c:v>225.66</c:v>
                </c:pt>
                <c:pt idx="255">
                  <c:v>225.86</c:v>
                </c:pt>
                <c:pt idx="256">
                  <c:v>226.06</c:v>
                </c:pt>
                <c:pt idx="257">
                  <c:v>226.26</c:v>
                </c:pt>
                <c:pt idx="258">
                  <c:v>226.46</c:v>
                </c:pt>
                <c:pt idx="259">
                  <c:v>226.66</c:v>
                </c:pt>
                <c:pt idx="260">
                  <c:v>226.86</c:v>
                </c:pt>
                <c:pt idx="261">
                  <c:v>227.06</c:v>
                </c:pt>
                <c:pt idx="262">
                  <c:v>227.26</c:v>
                </c:pt>
                <c:pt idx="263">
                  <c:v>227.46</c:v>
                </c:pt>
                <c:pt idx="264">
                  <c:v>227.66</c:v>
                </c:pt>
                <c:pt idx="265">
                  <c:v>227.86</c:v>
                </c:pt>
                <c:pt idx="266">
                  <c:v>228.06</c:v>
                </c:pt>
                <c:pt idx="267">
                  <c:v>228.26</c:v>
                </c:pt>
                <c:pt idx="268">
                  <c:v>228.46</c:v>
                </c:pt>
                <c:pt idx="269">
                  <c:v>228.66</c:v>
                </c:pt>
                <c:pt idx="270">
                  <c:v>228.86</c:v>
                </c:pt>
                <c:pt idx="271">
                  <c:v>229.06</c:v>
                </c:pt>
                <c:pt idx="272">
                  <c:v>229.26</c:v>
                </c:pt>
                <c:pt idx="273">
                  <c:v>229.46</c:v>
                </c:pt>
                <c:pt idx="274">
                  <c:v>229.66</c:v>
                </c:pt>
                <c:pt idx="275">
                  <c:v>229.86</c:v>
                </c:pt>
                <c:pt idx="276">
                  <c:v>230.06</c:v>
                </c:pt>
                <c:pt idx="277">
                  <c:v>230.26</c:v>
                </c:pt>
                <c:pt idx="278">
                  <c:v>230.46</c:v>
                </c:pt>
                <c:pt idx="279">
                  <c:v>230.66</c:v>
                </c:pt>
                <c:pt idx="280">
                  <c:v>230.86</c:v>
                </c:pt>
                <c:pt idx="281">
                  <c:v>231.06</c:v>
                </c:pt>
                <c:pt idx="282">
                  <c:v>231.26</c:v>
                </c:pt>
                <c:pt idx="283">
                  <c:v>231.46</c:v>
                </c:pt>
                <c:pt idx="284">
                  <c:v>231.66</c:v>
                </c:pt>
                <c:pt idx="285">
                  <c:v>231.86</c:v>
                </c:pt>
                <c:pt idx="286">
                  <c:v>232.06</c:v>
                </c:pt>
                <c:pt idx="287">
                  <c:v>232.26</c:v>
                </c:pt>
                <c:pt idx="288">
                  <c:v>232.46</c:v>
                </c:pt>
                <c:pt idx="289">
                  <c:v>232.66</c:v>
                </c:pt>
                <c:pt idx="290">
                  <c:v>232.86</c:v>
                </c:pt>
                <c:pt idx="291">
                  <c:v>233.06</c:v>
                </c:pt>
                <c:pt idx="292">
                  <c:v>233.26</c:v>
                </c:pt>
                <c:pt idx="293">
                  <c:v>233.46</c:v>
                </c:pt>
                <c:pt idx="294">
                  <c:v>233.66</c:v>
                </c:pt>
                <c:pt idx="295">
                  <c:v>233.86</c:v>
                </c:pt>
                <c:pt idx="296">
                  <c:v>234.06</c:v>
                </c:pt>
                <c:pt idx="297">
                  <c:v>234.26</c:v>
                </c:pt>
                <c:pt idx="298">
                  <c:v>234.46</c:v>
                </c:pt>
                <c:pt idx="299">
                  <c:v>234.66</c:v>
                </c:pt>
                <c:pt idx="300">
                  <c:v>234.86</c:v>
                </c:pt>
                <c:pt idx="301">
                  <c:v>235.06</c:v>
                </c:pt>
                <c:pt idx="302">
                  <c:v>235.26</c:v>
                </c:pt>
                <c:pt idx="303">
                  <c:v>235.46</c:v>
                </c:pt>
                <c:pt idx="304">
                  <c:v>235.66</c:v>
                </c:pt>
                <c:pt idx="305">
                  <c:v>235.86</c:v>
                </c:pt>
                <c:pt idx="306">
                  <c:v>236.06</c:v>
                </c:pt>
                <c:pt idx="307">
                  <c:v>236.26</c:v>
                </c:pt>
                <c:pt idx="308">
                  <c:v>236.46</c:v>
                </c:pt>
                <c:pt idx="309">
                  <c:v>236.66</c:v>
                </c:pt>
                <c:pt idx="310">
                  <c:v>236.86</c:v>
                </c:pt>
                <c:pt idx="311">
                  <c:v>237.06</c:v>
                </c:pt>
                <c:pt idx="312">
                  <c:v>237.26</c:v>
                </c:pt>
                <c:pt idx="313">
                  <c:v>237.46</c:v>
                </c:pt>
                <c:pt idx="314">
                  <c:v>237.66</c:v>
                </c:pt>
                <c:pt idx="315">
                  <c:v>237.86</c:v>
                </c:pt>
                <c:pt idx="316">
                  <c:v>238.06</c:v>
                </c:pt>
                <c:pt idx="317">
                  <c:v>238.26</c:v>
                </c:pt>
                <c:pt idx="318">
                  <c:v>238.46</c:v>
                </c:pt>
                <c:pt idx="319">
                  <c:v>238.66</c:v>
                </c:pt>
                <c:pt idx="320">
                  <c:v>238.86</c:v>
                </c:pt>
                <c:pt idx="321">
                  <c:v>239.06</c:v>
                </c:pt>
                <c:pt idx="322">
                  <c:v>239.26</c:v>
                </c:pt>
                <c:pt idx="323">
                  <c:v>239.46</c:v>
                </c:pt>
                <c:pt idx="324">
                  <c:v>239.66</c:v>
                </c:pt>
                <c:pt idx="325">
                  <c:v>239.86</c:v>
                </c:pt>
                <c:pt idx="326">
                  <c:v>240.06</c:v>
                </c:pt>
                <c:pt idx="327">
                  <c:v>240.26</c:v>
                </c:pt>
                <c:pt idx="328">
                  <c:v>240.46</c:v>
                </c:pt>
                <c:pt idx="329">
                  <c:v>240.66</c:v>
                </c:pt>
                <c:pt idx="330">
                  <c:v>240.86</c:v>
                </c:pt>
                <c:pt idx="331">
                  <c:v>241.06</c:v>
                </c:pt>
                <c:pt idx="332">
                  <c:v>241.26</c:v>
                </c:pt>
                <c:pt idx="333">
                  <c:v>241.46</c:v>
                </c:pt>
                <c:pt idx="334">
                  <c:v>241.66</c:v>
                </c:pt>
                <c:pt idx="335">
                  <c:v>241.86</c:v>
                </c:pt>
                <c:pt idx="336">
                  <c:v>242.06</c:v>
                </c:pt>
                <c:pt idx="337">
                  <c:v>242.26</c:v>
                </c:pt>
                <c:pt idx="338">
                  <c:v>242.46</c:v>
                </c:pt>
                <c:pt idx="339">
                  <c:v>242.66</c:v>
                </c:pt>
                <c:pt idx="340">
                  <c:v>242.86</c:v>
                </c:pt>
                <c:pt idx="341">
                  <c:v>243.06</c:v>
                </c:pt>
                <c:pt idx="342">
                  <c:v>243.26</c:v>
                </c:pt>
                <c:pt idx="343">
                  <c:v>243.46</c:v>
                </c:pt>
                <c:pt idx="344">
                  <c:v>243.66</c:v>
                </c:pt>
                <c:pt idx="345">
                  <c:v>243.86</c:v>
                </c:pt>
                <c:pt idx="346">
                  <c:v>244.06</c:v>
                </c:pt>
                <c:pt idx="347">
                  <c:v>244.26</c:v>
                </c:pt>
                <c:pt idx="348">
                  <c:v>244.46</c:v>
                </c:pt>
                <c:pt idx="349">
                  <c:v>244.66</c:v>
                </c:pt>
                <c:pt idx="350">
                  <c:v>244.86</c:v>
                </c:pt>
                <c:pt idx="351">
                  <c:v>245.06</c:v>
                </c:pt>
                <c:pt idx="352">
                  <c:v>245.26</c:v>
                </c:pt>
                <c:pt idx="353">
                  <c:v>245.46</c:v>
                </c:pt>
                <c:pt idx="354">
                  <c:v>245.66</c:v>
                </c:pt>
                <c:pt idx="355">
                  <c:v>245.86</c:v>
                </c:pt>
                <c:pt idx="356">
                  <c:v>246.06</c:v>
                </c:pt>
                <c:pt idx="357">
                  <c:v>246.26</c:v>
                </c:pt>
                <c:pt idx="358">
                  <c:v>246.46</c:v>
                </c:pt>
                <c:pt idx="359">
                  <c:v>246.66</c:v>
                </c:pt>
                <c:pt idx="360">
                  <c:v>246.86</c:v>
                </c:pt>
                <c:pt idx="361">
                  <c:v>247.06</c:v>
                </c:pt>
                <c:pt idx="362">
                  <c:v>247.26</c:v>
                </c:pt>
                <c:pt idx="363">
                  <c:v>247.46</c:v>
                </c:pt>
                <c:pt idx="364">
                  <c:v>247.66</c:v>
                </c:pt>
                <c:pt idx="365">
                  <c:v>247.86</c:v>
                </c:pt>
                <c:pt idx="366">
                  <c:v>248.06</c:v>
                </c:pt>
                <c:pt idx="367">
                  <c:v>248.26</c:v>
                </c:pt>
                <c:pt idx="368">
                  <c:v>248.46</c:v>
                </c:pt>
                <c:pt idx="369">
                  <c:v>248.66</c:v>
                </c:pt>
                <c:pt idx="370">
                  <c:v>248.86</c:v>
                </c:pt>
                <c:pt idx="371">
                  <c:v>249.06</c:v>
                </c:pt>
                <c:pt idx="372">
                  <c:v>249.26</c:v>
                </c:pt>
                <c:pt idx="373">
                  <c:v>249.46</c:v>
                </c:pt>
                <c:pt idx="374">
                  <c:v>249.66</c:v>
                </c:pt>
                <c:pt idx="375">
                  <c:v>249.86</c:v>
                </c:pt>
                <c:pt idx="376">
                  <c:v>250.06</c:v>
                </c:pt>
                <c:pt idx="377">
                  <c:v>250.26</c:v>
                </c:pt>
                <c:pt idx="378">
                  <c:v>250.46</c:v>
                </c:pt>
                <c:pt idx="379">
                  <c:v>250.66</c:v>
                </c:pt>
                <c:pt idx="380">
                  <c:v>250.86</c:v>
                </c:pt>
                <c:pt idx="381">
                  <c:v>251.06</c:v>
                </c:pt>
                <c:pt idx="382">
                  <c:v>251.26</c:v>
                </c:pt>
                <c:pt idx="383">
                  <c:v>251.46</c:v>
                </c:pt>
                <c:pt idx="384">
                  <c:v>251.66</c:v>
                </c:pt>
                <c:pt idx="385">
                  <c:v>251.86</c:v>
                </c:pt>
                <c:pt idx="386">
                  <c:v>252.06</c:v>
                </c:pt>
                <c:pt idx="387">
                  <c:v>252.26</c:v>
                </c:pt>
                <c:pt idx="388">
                  <c:v>252.46</c:v>
                </c:pt>
                <c:pt idx="389">
                  <c:v>252.66</c:v>
                </c:pt>
                <c:pt idx="390">
                  <c:v>252.86</c:v>
                </c:pt>
                <c:pt idx="391">
                  <c:v>253.06</c:v>
                </c:pt>
                <c:pt idx="392">
                  <c:v>253.26</c:v>
                </c:pt>
                <c:pt idx="393">
                  <c:v>253.46</c:v>
                </c:pt>
                <c:pt idx="394">
                  <c:v>253.66</c:v>
                </c:pt>
                <c:pt idx="395">
                  <c:v>253.86</c:v>
                </c:pt>
                <c:pt idx="396">
                  <c:v>254.06</c:v>
                </c:pt>
                <c:pt idx="397">
                  <c:v>254.26</c:v>
                </c:pt>
                <c:pt idx="398">
                  <c:v>254.46</c:v>
                </c:pt>
                <c:pt idx="399">
                  <c:v>254.66</c:v>
                </c:pt>
                <c:pt idx="400">
                  <c:v>254.86</c:v>
                </c:pt>
                <c:pt idx="401">
                  <c:v>255.06</c:v>
                </c:pt>
                <c:pt idx="402">
                  <c:v>255.26</c:v>
                </c:pt>
                <c:pt idx="403">
                  <c:v>255.46</c:v>
                </c:pt>
                <c:pt idx="404">
                  <c:v>255.66</c:v>
                </c:pt>
                <c:pt idx="405">
                  <c:v>255.86</c:v>
                </c:pt>
                <c:pt idx="406">
                  <c:v>256.06</c:v>
                </c:pt>
                <c:pt idx="407">
                  <c:v>256.26</c:v>
                </c:pt>
                <c:pt idx="408">
                  <c:v>256.46</c:v>
                </c:pt>
                <c:pt idx="409">
                  <c:v>256.66</c:v>
                </c:pt>
                <c:pt idx="410">
                  <c:v>256.86</c:v>
                </c:pt>
                <c:pt idx="411">
                  <c:v>257.06</c:v>
                </c:pt>
                <c:pt idx="412">
                  <c:v>257.26</c:v>
                </c:pt>
                <c:pt idx="413">
                  <c:v>257.46</c:v>
                </c:pt>
                <c:pt idx="414">
                  <c:v>257.66</c:v>
                </c:pt>
                <c:pt idx="415">
                  <c:v>257.86</c:v>
                </c:pt>
                <c:pt idx="416">
                  <c:v>258.06</c:v>
                </c:pt>
                <c:pt idx="417">
                  <c:v>258.26</c:v>
                </c:pt>
                <c:pt idx="418">
                  <c:v>258.46</c:v>
                </c:pt>
                <c:pt idx="419">
                  <c:v>258.66</c:v>
                </c:pt>
                <c:pt idx="420">
                  <c:v>258.86</c:v>
                </c:pt>
                <c:pt idx="421">
                  <c:v>259.06</c:v>
                </c:pt>
                <c:pt idx="422">
                  <c:v>259.26</c:v>
                </c:pt>
                <c:pt idx="423">
                  <c:v>259.46</c:v>
                </c:pt>
                <c:pt idx="424">
                  <c:v>259.66</c:v>
                </c:pt>
                <c:pt idx="425">
                  <c:v>259.86</c:v>
                </c:pt>
                <c:pt idx="426">
                  <c:v>260.06</c:v>
                </c:pt>
                <c:pt idx="427">
                  <c:v>260.26</c:v>
                </c:pt>
                <c:pt idx="428">
                  <c:v>260.46</c:v>
                </c:pt>
                <c:pt idx="429">
                  <c:v>260.66</c:v>
                </c:pt>
                <c:pt idx="430">
                  <c:v>260.86</c:v>
                </c:pt>
                <c:pt idx="431">
                  <c:v>261.06</c:v>
                </c:pt>
                <c:pt idx="432">
                  <c:v>261.26</c:v>
                </c:pt>
                <c:pt idx="433">
                  <c:v>261.46</c:v>
                </c:pt>
                <c:pt idx="434">
                  <c:v>261.66</c:v>
                </c:pt>
                <c:pt idx="435">
                  <c:v>261.86</c:v>
                </c:pt>
                <c:pt idx="436">
                  <c:v>262.06</c:v>
                </c:pt>
                <c:pt idx="437">
                  <c:v>262.26</c:v>
                </c:pt>
                <c:pt idx="438">
                  <c:v>262.46</c:v>
                </c:pt>
                <c:pt idx="439">
                  <c:v>262.66</c:v>
                </c:pt>
                <c:pt idx="440">
                  <c:v>262.86</c:v>
                </c:pt>
                <c:pt idx="441">
                  <c:v>263.06</c:v>
                </c:pt>
                <c:pt idx="442">
                  <c:v>263.26</c:v>
                </c:pt>
                <c:pt idx="443">
                  <c:v>263.47</c:v>
                </c:pt>
                <c:pt idx="444">
                  <c:v>263.67</c:v>
                </c:pt>
                <c:pt idx="445">
                  <c:v>263.87</c:v>
                </c:pt>
                <c:pt idx="446">
                  <c:v>264.08</c:v>
                </c:pt>
                <c:pt idx="447">
                  <c:v>264.28</c:v>
                </c:pt>
                <c:pt idx="448">
                  <c:v>264.48</c:v>
                </c:pt>
                <c:pt idx="449">
                  <c:v>264.68</c:v>
                </c:pt>
                <c:pt idx="450">
                  <c:v>264.88</c:v>
                </c:pt>
                <c:pt idx="451">
                  <c:v>265.08</c:v>
                </c:pt>
                <c:pt idx="452">
                  <c:v>265.28</c:v>
                </c:pt>
                <c:pt idx="453">
                  <c:v>265.48</c:v>
                </c:pt>
                <c:pt idx="454">
                  <c:v>265.68</c:v>
                </c:pt>
                <c:pt idx="455">
                  <c:v>265.88</c:v>
                </c:pt>
                <c:pt idx="456">
                  <c:v>266.08</c:v>
                </c:pt>
                <c:pt idx="457">
                  <c:v>266.28</c:v>
                </c:pt>
                <c:pt idx="458">
                  <c:v>266.48</c:v>
                </c:pt>
                <c:pt idx="459">
                  <c:v>266.68</c:v>
                </c:pt>
                <c:pt idx="460">
                  <c:v>266.88</c:v>
                </c:pt>
                <c:pt idx="461">
                  <c:v>267.08</c:v>
                </c:pt>
                <c:pt idx="462">
                  <c:v>267.28</c:v>
                </c:pt>
                <c:pt idx="463">
                  <c:v>267.48</c:v>
                </c:pt>
                <c:pt idx="464">
                  <c:v>267.68</c:v>
                </c:pt>
                <c:pt idx="465">
                  <c:v>267.88</c:v>
                </c:pt>
                <c:pt idx="466">
                  <c:v>268.08</c:v>
                </c:pt>
                <c:pt idx="467">
                  <c:v>268.28</c:v>
                </c:pt>
                <c:pt idx="468">
                  <c:v>268.48</c:v>
                </c:pt>
                <c:pt idx="469">
                  <c:v>268.68</c:v>
                </c:pt>
                <c:pt idx="470">
                  <c:v>268.88</c:v>
                </c:pt>
                <c:pt idx="471">
                  <c:v>269.08</c:v>
                </c:pt>
                <c:pt idx="472">
                  <c:v>269.28</c:v>
                </c:pt>
                <c:pt idx="473">
                  <c:v>269.48</c:v>
                </c:pt>
                <c:pt idx="474">
                  <c:v>269.68</c:v>
                </c:pt>
                <c:pt idx="475">
                  <c:v>269.88</c:v>
                </c:pt>
                <c:pt idx="476">
                  <c:v>270.08</c:v>
                </c:pt>
                <c:pt idx="477">
                  <c:v>270.28</c:v>
                </c:pt>
                <c:pt idx="478">
                  <c:v>270.48</c:v>
                </c:pt>
                <c:pt idx="479">
                  <c:v>270.68</c:v>
                </c:pt>
                <c:pt idx="480">
                  <c:v>270.88</c:v>
                </c:pt>
                <c:pt idx="481">
                  <c:v>271.08</c:v>
                </c:pt>
                <c:pt idx="482">
                  <c:v>271.28</c:v>
                </c:pt>
                <c:pt idx="483">
                  <c:v>271.48</c:v>
                </c:pt>
                <c:pt idx="484">
                  <c:v>271.68</c:v>
                </c:pt>
                <c:pt idx="485">
                  <c:v>271.88</c:v>
                </c:pt>
                <c:pt idx="486">
                  <c:v>272.08</c:v>
                </c:pt>
                <c:pt idx="487">
                  <c:v>272.28</c:v>
                </c:pt>
                <c:pt idx="488">
                  <c:v>272.48</c:v>
                </c:pt>
                <c:pt idx="489">
                  <c:v>272.68</c:v>
                </c:pt>
                <c:pt idx="490">
                  <c:v>272.88</c:v>
                </c:pt>
                <c:pt idx="491">
                  <c:v>273.08</c:v>
                </c:pt>
                <c:pt idx="492">
                  <c:v>273.28</c:v>
                </c:pt>
                <c:pt idx="493">
                  <c:v>273.48</c:v>
                </c:pt>
                <c:pt idx="494">
                  <c:v>273.68</c:v>
                </c:pt>
                <c:pt idx="495">
                  <c:v>273.88</c:v>
                </c:pt>
                <c:pt idx="496">
                  <c:v>274.08</c:v>
                </c:pt>
                <c:pt idx="497">
                  <c:v>274.28</c:v>
                </c:pt>
                <c:pt idx="498">
                  <c:v>274.48</c:v>
                </c:pt>
                <c:pt idx="499">
                  <c:v>274.68</c:v>
                </c:pt>
                <c:pt idx="500">
                  <c:v>274.88</c:v>
                </c:pt>
                <c:pt idx="501">
                  <c:v>275.08</c:v>
                </c:pt>
                <c:pt idx="502">
                  <c:v>275.28</c:v>
                </c:pt>
                <c:pt idx="503">
                  <c:v>275.48</c:v>
                </c:pt>
                <c:pt idx="504">
                  <c:v>275.68</c:v>
                </c:pt>
                <c:pt idx="505">
                  <c:v>275.88</c:v>
                </c:pt>
                <c:pt idx="506">
                  <c:v>276.08</c:v>
                </c:pt>
                <c:pt idx="507">
                  <c:v>276.28</c:v>
                </c:pt>
                <c:pt idx="508">
                  <c:v>276.48</c:v>
                </c:pt>
                <c:pt idx="509">
                  <c:v>276.68</c:v>
                </c:pt>
                <c:pt idx="510">
                  <c:v>276.88</c:v>
                </c:pt>
                <c:pt idx="511">
                  <c:v>277.08</c:v>
                </c:pt>
                <c:pt idx="512">
                  <c:v>277.28</c:v>
                </c:pt>
                <c:pt idx="513">
                  <c:v>277.48</c:v>
                </c:pt>
                <c:pt idx="514">
                  <c:v>277.68</c:v>
                </c:pt>
                <c:pt idx="515">
                  <c:v>277.88</c:v>
                </c:pt>
                <c:pt idx="516">
                  <c:v>278.08</c:v>
                </c:pt>
                <c:pt idx="517">
                  <c:v>278.28</c:v>
                </c:pt>
                <c:pt idx="518">
                  <c:v>278.48</c:v>
                </c:pt>
                <c:pt idx="519">
                  <c:v>278.68</c:v>
                </c:pt>
                <c:pt idx="520">
                  <c:v>278.88</c:v>
                </c:pt>
                <c:pt idx="521">
                  <c:v>279.08</c:v>
                </c:pt>
                <c:pt idx="522">
                  <c:v>279.28</c:v>
                </c:pt>
                <c:pt idx="523">
                  <c:v>279.48</c:v>
                </c:pt>
                <c:pt idx="524">
                  <c:v>279.68</c:v>
                </c:pt>
                <c:pt idx="525">
                  <c:v>279.88</c:v>
                </c:pt>
                <c:pt idx="526">
                  <c:v>280.08</c:v>
                </c:pt>
                <c:pt idx="527">
                  <c:v>280.28</c:v>
                </c:pt>
                <c:pt idx="528">
                  <c:v>280.48</c:v>
                </c:pt>
                <c:pt idx="529">
                  <c:v>280.68</c:v>
                </c:pt>
                <c:pt idx="530">
                  <c:v>280.88</c:v>
                </c:pt>
                <c:pt idx="531">
                  <c:v>281.08</c:v>
                </c:pt>
                <c:pt idx="532">
                  <c:v>281.28</c:v>
                </c:pt>
                <c:pt idx="533">
                  <c:v>281.48</c:v>
                </c:pt>
                <c:pt idx="534">
                  <c:v>281.68</c:v>
                </c:pt>
                <c:pt idx="535">
                  <c:v>281.88</c:v>
                </c:pt>
                <c:pt idx="536">
                  <c:v>282.08</c:v>
                </c:pt>
                <c:pt idx="537">
                  <c:v>282.28</c:v>
                </c:pt>
                <c:pt idx="538">
                  <c:v>282.51</c:v>
                </c:pt>
                <c:pt idx="539">
                  <c:v>282.69</c:v>
                </c:pt>
                <c:pt idx="540">
                  <c:v>282.89</c:v>
                </c:pt>
                <c:pt idx="541">
                  <c:v>283.1</c:v>
                </c:pt>
                <c:pt idx="542">
                  <c:v>283.3</c:v>
                </c:pt>
                <c:pt idx="543">
                  <c:v>283.52</c:v>
                </c:pt>
                <c:pt idx="544">
                  <c:v>283.7</c:v>
                </c:pt>
                <c:pt idx="545">
                  <c:v>283.9</c:v>
                </c:pt>
                <c:pt idx="546">
                  <c:v>284.11</c:v>
                </c:pt>
                <c:pt idx="547">
                  <c:v>284.3</c:v>
                </c:pt>
                <c:pt idx="548">
                  <c:v>284.5</c:v>
                </c:pt>
                <c:pt idx="549">
                  <c:v>284.7</c:v>
                </c:pt>
                <c:pt idx="550">
                  <c:v>284.9</c:v>
                </c:pt>
                <c:pt idx="551">
                  <c:v>285.1</c:v>
                </c:pt>
                <c:pt idx="552">
                  <c:v>285.31</c:v>
                </c:pt>
                <c:pt idx="553">
                  <c:v>285.51</c:v>
                </c:pt>
                <c:pt idx="554">
                  <c:v>285.71</c:v>
                </c:pt>
                <c:pt idx="555">
                  <c:v>285.91</c:v>
                </c:pt>
                <c:pt idx="556">
                  <c:v>286.11</c:v>
                </c:pt>
                <c:pt idx="557">
                  <c:v>286.31</c:v>
                </c:pt>
                <c:pt idx="558">
                  <c:v>286.51</c:v>
                </c:pt>
                <c:pt idx="559">
                  <c:v>286.71</c:v>
                </c:pt>
                <c:pt idx="560">
                  <c:v>286.91</c:v>
                </c:pt>
                <c:pt idx="561">
                  <c:v>287.11</c:v>
                </c:pt>
                <c:pt idx="562">
                  <c:v>287.31</c:v>
                </c:pt>
                <c:pt idx="563">
                  <c:v>287.51</c:v>
                </c:pt>
                <c:pt idx="564">
                  <c:v>287.71</c:v>
                </c:pt>
                <c:pt idx="565">
                  <c:v>287.91</c:v>
                </c:pt>
                <c:pt idx="566">
                  <c:v>288.11</c:v>
                </c:pt>
                <c:pt idx="567">
                  <c:v>288.31</c:v>
                </c:pt>
                <c:pt idx="568">
                  <c:v>288.51</c:v>
                </c:pt>
                <c:pt idx="569">
                  <c:v>288.71</c:v>
                </c:pt>
                <c:pt idx="570">
                  <c:v>288.91</c:v>
                </c:pt>
                <c:pt idx="571">
                  <c:v>289.11</c:v>
                </c:pt>
                <c:pt idx="572">
                  <c:v>289.31</c:v>
                </c:pt>
                <c:pt idx="573">
                  <c:v>289.51</c:v>
                </c:pt>
                <c:pt idx="574">
                  <c:v>289.71</c:v>
                </c:pt>
                <c:pt idx="575">
                  <c:v>289.91</c:v>
                </c:pt>
                <c:pt idx="576">
                  <c:v>290.11</c:v>
                </c:pt>
                <c:pt idx="577">
                  <c:v>290.31</c:v>
                </c:pt>
                <c:pt idx="578">
                  <c:v>290.51</c:v>
                </c:pt>
                <c:pt idx="579">
                  <c:v>290.71</c:v>
                </c:pt>
                <c:pt idx="580">
                  <c:v>290.91</c:v>
                </c:pt>
                <c:pt idx="581">
                  <c:v>291.11</c:v>
                </c:pt>
                <c:pt idx="582">
                  <c:v>291.31</c:v>
                </c:pt>
                <c:pt idx="583">
                  <c:v>291.51</c:v>
                </c:pt>
                <c:pt idx="584">
                  <c:v>291.71</c:v>
                </c:pt>
                <c:pt idx="585">
                  <c:v>291.91</c:v>
                </c:pt>
                <c:pt idx="586">
                  <c:v>292.11</c:v>
                </c:pt>
                <c:pt idx="587">
                  <c:v>292.31</c:v>
                </c:pt>
                <c:pt idx="588">
                  <c:v>292.51</c:v>
                </c:pt>
                <c:pt idx="589">
                  <c:v>292.71</c:v>
                </c:pt>
                <c:pt idx="590">
                  <c:v>292.91</c:v>
                </c:pt>
                <c:pt idx="591">
                  <c:v>293.11</c:v>
                </c:pt>
                <c:pt idx="592">
                  <c:v>293.31</c:v>
                </c:pt>
                <c:pt idx="593">
                  <c:v>293.51</c:v>
                </c:pt>
                <c:pt idx="594">
                  <c:v>293.71</c:v>
                </c:pt>
                <c:pt idx="595">
                  <c:v>293.91</c:v>
                </c:pt>
                <c:pt idx="596">
                  <c:v>294.11</c:v>
                </c:pt>
                <c:pt idx="597">
                  <c:v>294.31</c:v>
                </c:pt>
                <c:pt idx="598">
                  <c:v>294.51</c:v>
                </c:pt>
                <c:pt idx="599">
                  <c:v>294.71</c:v>
                </c:pt>
                <c:pt idx="600">
                  <c:v>294.91</c:v>
                </c:pt>
                <c:pt idx="601">
                  <c:v>295.11</c:v>
                </c:pt>
                <c:pt idx="602">
                  <c:v>295.31</c:v>
                </c:pt>
              </c:numCache>
            </c:numRef>
          </c:xVal>
          <c:yVal>
            <c:numRef>
              <c:f>Data!$D$2:$D$604</c:f>
              <c:numCache>
                <c:formatCode>General</c:formatCode>
                <c:ptCount val="603"/>
                <c:pt idx="0">
                  <c:v>5.611</c:v>
                </c:pt>
                <c:pt idx="1">
                  <c:v>5.605</c:v>
                </c:pt>
                <c:pt idx="2">
                  <c:v>5.612</c:v>
                </c:pt>
                <c:pt idx="3">
                  <c:v>5.629</c:v>
                </c:pt>
                <c:pt idx="4">
                  <c:v>5.635</c:v>
                </c:pt>
                <c:pt idx="5">
                  <c:v>5.641</c:v>
                </c:pt>
                <c:pt idx="6">
                  <c:v>5.647</c:v>
                </c:pt>
                <c:pt idx="7">
                  <c:v>5.681</c:v>
                </c:pt>
                <c:pt idx="8">
                  <c:v>5.694</c:v>
                </c:pt>
                <c:pt idx="9">
                  <c:v>5.713</c:v>
                </c:pt>
                <c:pt idx="10">
                  <c:v>5.737</c:v>
                </c:pt>
                <c:pt idx="11">
                  <c:v>5.763</c:v>
                </c:pt>
                <c:pt idx="12">
                  <c:v>5.771</c:v>
                </c:pt>
                <c:pt idx="13">
                  <c:v>5.776</c:v>
                </c:pt>
                <c:pt idx="14">
                  <c:v>5.792</c:v>
                </c:pt>
                <c:pt idx="15">
                  <c:v>5.799</c:v>
                </c:pt>
                <c:pt idx="16">
                  <c:v>5.797</c:v>
                </c:pt>
                <c:pt idx="17">
                  <c:v>5.803</c:v>
                </c:pt>
                <c:pt idx="18">
                  <c:v>5.804</c:v>
                </c:pt>
                <c:pt idx="19">
                  <c:v>5.799</c:v>
                </c:pt>
                <c:pt idx="20">
                  <c:v>5.792</c:v>
                </c:pt>
                <c:pt idx="21">
                  <c:v>5.786</c:v>
                </c:pt>
                <c:pt idx="22">
                  <c:v>5.789</c:v>
                </c:pt>
                <c:pt idx="23">
                  <c:v>5.779</c:v>
                </c:pt>
                <c:pt idx="24">
                  <c:v>5.764</c:v>
                </c:pt>
                <c:pt idx="25">
                  <c:v>5.763</c:v>
                </c:pt>
                <c:pt idx="26">
                  <c:v>5.752</c:v>
                </c:pt>
                <c:pt idx="27">
                  <c:v>5.748</c:v>
                </c:pt>
                <c:pt idx="28">
                  <c:v>5.747</c:v>
                </c:pt>
                <c:pt idx="29">
                  <c:v>5.75</c:v>
                </c:pt>
                <c:pt idx="30">
                  <c:v>5.737</c:v>
                </c:pt>
                <c:pt idx="31">
                  <c:v>5.731</c:v>
                </c:pt>
                <c:pt idx="32">
                  <c:v>5.716</c:v>
                </c:pt>
                <c:pt idx="33">
                  <c:v>5.721</c:v>
                </c:pt>
                <c:pt idx="34">
                  <c:v>5.71</c:v>
                </c:pt>
                <c:pt idx="35">
                  <c:v>5.657</c:v>
                </c:pt>
                <c:pt idx="36">
                  <c:v>5.646</c:v>
                </c:pt>
                <c:pt idx="37">
                  <c:v>5.654</c:v>
                </c:pt>
                <c:pt idx="38">
                  <c:v>5.615</c:v>
                </c:pt>
                <c:pt idx="39">
                  <c:v>5.535</c:v>
                </c:pt>
                <c:pt idx="40">
                  <c:v>5.523</c:v>
                </c:pt>
                <c:pt idx="41">
                  <c:v>5.479</c:v>
                </c:pt>
                <c:pt idx="42">
                  <c:v>5.511</c:v>
                </c:pt>
                <c:pt idx="43">
                  <c:v>5.483</c:v>
                </c:pt>
                <c:pt idx="44">
                  <c:v>5.464</c:v>
                </c:pt>
                <c:pt idx="45">
                  <c:v>5.544</c:v>
                </c:pt>
                <c:pt idx="46">
                  <c:v>5.511</c:v>
                </c:pt>
                <c:pt idx="47">
                  <c:v>5.507</c:v>
                </c:pt>
                <c:pt idx="48">
                  <c:v>5.461</c:v>
                </c:pt>
                <c:pt idx="49">
                  <c:v>5.416</c:v>
                </c:pt>
                <c:pt idx="50">
                  <c:v>5.292</c:v>
                </c:pt>
                <c:pt idx="51">
                  <c:v>5.306</c:v>
                </c:pt>
                <c:pt idx="52">
                  <c:v>5.22</c:v>
                </c:pt>
                <c:pt idx="53">
                  <c:v>5.197</c:v>
                </c:pt>
                <c:pt idx="54">
                  <c:v>5.142</c:v>
                </c:pt>
                <c:pt idx="55">
                  <c:v>5.163</c:v>
                </c:pt>
                <c:pt idx="56">
                  <c:v>5.147</c:v>
                </c:pt>
                <c:pt idx="57">
                  <c:v>5.159</c:v>
                </c:pt>
                <c:pt idx="58">
                  <c:v>5.155</c:v>
                </c:pt>
                <c:pt idx="59">
                  <c:v>5.167</c:v>
                </c:pt>
                <c:pt idx="60">
                  <c:v>5.168</c:v>
                </c:pt>
                <c:pt idx="61">
                  <c:v>5.168</c:v>
                </c:pt>
                <c:pt idx="62">
                  <c:v>5.17</c:v>
                </c:pt>
                <c:pt idx="63">
                  <c:v>5.108</c:v>
                </c:pt>
                <c:pt idx="64">
                  <c:v>5.13</c:v>
                </c:pt>
                <c:pt idx="65">
                  <c:v>5.112</c:v>
                </c:pt>
                <c:pt idx="66">
                  <c:v>5.107</c:v>
                </c:pt>
                <c:pt idx="67">
                  <c:v>5.071</c:v>
                </c:pt>
                <c:pt idx="68">
                  <c:v>5.049</c:v>
                </c:pt>
                <c:pt idx="69">
                  <c:v>4.983</c:v>
                </c:pt>
                <c:pt idx="70">
                  <c:v>4.851</c:v>
                </c:pt>
                <c:pt idx="71">
                  <c:v>4.78</c:v>
                </c:pt>
                <c:pt idx="72">
                  <c:v>4.729</c:v>
                </c:pt>
                <c:pt idx="73">
                  <c:v>4.722</c:v>
                </c:pt>
                <c:pt idx="74">
                  <c:v>4.729</c:v>
                </c:pt>
                <c:pt idx="75">
                  <c:v>4.693</c:v>
                </c:pt>
                <c:pt idx="76">
                  <c:v>4.684</c:v>
                </c:pt>
                <c:pt idx="77">
                  <c:v>4.66</c:v>
                </c:pt>
                <c:pt idx="78">
                  <c:v>4.551</c:v>
                </c:pt>
                <c:pt idx="79">
                  <c:v>4.542</c:v>
                </c:pt>
                <c:pt idx="80">
                  <c:v>4.434</c:v>
                </c:pt>
                <c:pt idx="81">
                  <c:v>4.387</c:v>
                </c:pt>
                <c:pt idx="82">
                  <c:v>4.165</c:v>
                </c:pt>
                <c:pt idx="83">
                  <c:v>4.157</c:v>
                </c:pt>
                <c:pt idx="84">
                  <c:v>4.237</c:v>
                </c:pt>
                <c:pt idx="85">
                  <c:v>4.296</c:v>
                </c:pt>
                <c:pt idx="86">
                  <c:v>4.372</c:v>
                </c:pt>
                <c:pt idx="87">
                  <c:v>4.326</c:v>
                </c:pt>
                <c:pt idx="88">
                  <c:v>4.303</c:v>
                </c:pt>
                <c:pt idx="89">
                  <c:v>4.214</c:v>
                </c:pt>
                <c:pt idx="90">
                  <c:v>4.186</c:v>
                </c:pt>
                <c:pt idx="91">
                  <c:v>4.085</c:v>
                </c:pt>
                <c:pt idx="92">
                  <c:v>4.056</c:v>
                </c:pt>
                <c:pt idx="93">
                  <c:v>4.017</c:v>
                </c:pt>
                <c:pt idx="94">
                  <c:v>3.998</c:v>
                </c:pt>
                <c:pt idx="95">
                  <c:v>3.979</c:v>
                </c:pt>
                <c:pt idx="96">
                  <c:v>3.958</c:v>
                </c:pt>
                <c:pt idx="97">
                  <c:v>3.946</c:v>
                </c:pt>
                <c:pt idx="98">
                  <c:v>3.913</c:v>
                </c:pt>
                <c:pt idx="99">
                  <c:v>4.084</c:v>
                </c:pt>
                <c:pt idx="100">
                  <c:v>4.113</c:v>
                </c:pt>
                <c:pt idx="101">
                  <c:v>4.123</c:v>
                </c:pt>
                <c:pt idx="102">
                  <c:v>4.245</c:v>
                </c:pt>
                <c:pt idx="103">
                  <c:v>4.215</c:v>
                </c:pt>
                <c:pt idx="104">
                  <c:v>4.197</c:v>
                </c:pt>
                <c:pt idx="105">
                  <c:v>4.126</c:v>
                </c:pt>
                <c:pt idx="106">
                  <c:v>4.063</c:v>
                </c:pt>
                <c:pt idx="107">
                  <c:v>4.016</c:v>
                </c:pt>
                <c:pt idx="108">
                  <c:v>4.023</c:v>
                </c:pt>
                <c:pt idx="109">
                  <c:v>4.013</c:v>
                </c:pt>
                <c:pt idx="110">
                  <c:v>3.989</c:v>
                </c:pt>
                <c:pt idx="111">
                  <c:v>3.979</c:v>
                </c:pt>
                <c:pt idx="112">
                  <c:v>3.971</c:v>
                </c:pt>
                <c:pt idx="113">
                  <c:v>4.001</c:v>
                </c:pt>
                <c:pt idx="114">
                  <c:v>4.032</c:v>
                </c:pt>
                <c:pt idx="115">
                  <c:v>3.998</c:v>
                </c:pt>
                <c:pt idx="116">
                  <c:v>4.034</c:v>
                </c:pt>
                <c:pt idx="117">
                  <c:v>4.153</c:v>
                </c:pt>
                <c:pt idx="118">
                  <c:v>4.26</c:v>
                </c:pt>
                <c:pt idx="119">
                  <c:v>4.266</c:v>
                </c:pt>
                <c:pt idx="120">
                  <c:v>4.321</c:v>
                </c:pt>
                <c:pt idx="121">
                  <c:v>4.365</c:v>
                </c:pt>
                <c:pt idx="122">
                  <c:v>4.417</c:v>
                </c:pt>
                <c:pt idx="123">
                  <c:v>4.393</c:v>
                </c:pt>
                <c:pt idx="124">
                  <c:v>4.435</c:v>
                </c:pt>
                <c:pt idx="125">
                  <c:v>4.365</c:v>
                </c:pt>
                <c:pt idx="126">
                  <c:v>4.292</c:v>
                </c:pt>
                <c:pt idx="127">
                  <c:v>4.274</c:v>
                </c:pt>
                <c:pt idx="128">
                  <c:v>4.243</c:v>
                </c:pt>
                <c:pt idx="129">
                  <c:v>4.2</c:v>
                </c:pt>
                <c:pt idx="130">
                  <c:v>4.125</c:v>
                </c:pt>
                <c:pt idx="131">
                  <c:v>3.998</c:v>
                </c:pt>
                <c:pt idx="132">
                  <c:v>3.965</c:v>
                </c:pt>
                <c:pt idx="133">
                  <c:v>3.96</c:v>
                </c:pt>
                <c:pt idx="134">
                  <c:v>3.932</c:v>
                </c:pt>
                <c:pt idx="135">
                  <c:v>3.925</c:v>
                </c:pt>
                <c:pt idx="136">
                  <c:v>3.933</c:v>
                </c:pt>
                <c:pt idx="137">
                  <c:v>3.908</c:v>
                </c:pt>
                <c:pt idx="138">
                  <c:v>3.949</c:v>
                </c:pt>
                <c:pt idx="139">
                  <c:v>3.97</c:v>
                </c:pt>
                <c:pt idx="140">
                  <c:v>4.018</c:v>
                </c:pt>
                <c:pt idx="141">
                  <c:v>4.057</c:v>
                </c:pt>
                <c:pt idx="142">
                  <c:v>4.107</c:v>
                </c:pt>
                <c:pt idx="143">
                  <c:v>4.165</c:v>
                </c:pt>
                <c:pt idx="144">
                  <c:v>4.223</c:v>
                </c:pt>
                <c:pt idx="145">
                  <c:v>4.261</c:v>
                </c:pt>
                <c:pt idx="146">
                  <c:v>4.269</c:v>
                </c:pt>
                <c:pt idx="147">
                  <c:v>4.29</c:v>
                </c:pt>
                <c:pt idx="148">
                  <c:v>4.306</c:v>
                </c:pt>
                <c:pt idx="149">
                  <c:v>4.329</c:v>
                </c:pt>
                <c:pt idx="150">
                  <c:v>4.343</c:v>
                </c:pt>
                <c:pt idx="151">
                  <c:v>4.359</c:v>
                </c:pt>
                <c:pt idx="152">
                  <c:v>4.359</c:v>
                </c:pt>
                <c:pt idx="153">
                  <c:v>4.342</c:v>
                </c:pt>
                <c:pt idx="154">
                  <c:v>4.317</c:v>
                </c:pt>
                <c:pt idx="155">
                  <c:v>4.286</c:v>
                </c:pt>
                <c:pt idx="156">
                  <c:v>4.257</c:v>
                </c:pt>
                <c:pt idx="157">
                  <c:v>4.225</c:v>
                </c:pt>
                <c:pt idx="158">
                  <c:v>4.218</c:v>
                </c:pt>
                <c:pt idx="159">
                  <c:v>4.198</c:v>
                </c:pt>
                <c:pt idx="160">
                  <c:v>4.205</c:v>
                </c:pt>
                <c:pt idx="161">
                  <c:v>4.198</c:v>
                </c:pt>
                <c:pt idx="162">
                  <c:v>4.206</c:v>
                </c:pt>
                <c:pt idx="163">
                  <c:v>4.203</c:v>
                </c:pt>
                <c:pt idx="164">
                  <c:v>4.216</c:v>
                </c:pt>
                <c:pt idx="165">
                  <c:v>4.236</c:v>
                </c:pt>
                <c:pt idx="166">
                  <c:v>4.353</c:v>
                </c:pt>
                <c:pt idx="167">
                  <c:v>4.496</c:v>
                </c:pt>
                <c:pt idx="168">
                  <c:v>4.612</c:v>
                </c:pt>
                <c:pt idx="169">
                  <c:v>4.615</c:v>
                </c:pt>
                <c:pt idx="170">
                  <c:v>4.834</c:v>
                </c:pt>
                <c:pt idx="171">
                  <c:v>4.926</c:v>
                </c:pt>
                <c:pt idx="172">
                  <c:v>4.863</c:v>
                </c:pt>
                <c:pt idx="173">
                  <c:v>5.074</c:v>
                </c:pt>
                <c:pt idx="174">
                  <c:v>5.177</c:v>
                </c:pt>
                <c:pt idx="175">
                  <c:v>5.181</c:v>
                </c:pt>
                <c:pt idx="176">
                  <c:v>5.163</c:v>
                </c:pt>
                <c:pt idx="177">
                  <c:v>5.104</c:v>
                </c:pt>
                <c:pt idx="178">
                  <c:v>4.955</c:v>
                </c:pt>
                <c:pt idx="179">
                  <c:v>5.111</c:v>
                </c:pt>
                <c:pt idx="180">
                  <c:v>5.195</c:v>
                </c:pt>
                <c:pt idx="181">
                  <c:v>5.356</c:v>
                </c:pt>
                <c:pt idx="182">
                  <c:v>5.409</c:v>
                </c:pt>
                <c:pt idx="183">
                  <c:v>5.489</c:v>
                </c:pt>
                <c:pt idx="184">
                  <c:v>5.522</c:v>
                </c:pt>
                <c:pt idx="185">
                  <c:v>5.49</c:v>
                </c:pt>
                <c:pt idx="186">
                  <c:v>5.529</c:v>
                </c:pt>
                <c:pt idx="187">
                  <c:v>5.51</c:v>
                </c:pt>
                <c:pt idx="188">
                  <c:v>5.079</c:v>
                </c:pt>
                <c:pt idx="189">
                  <c:v>5.231</c:v>
                </c:pt>
                <c:pt idx="190">
                  <c:v>5.224</c:v>
                </c:pt>
                <c:pt idx="191">
                  <c:v>5.207</c:v>
                </c:pt>
                <c:pt idx="192">
                  <c:v>5.168</c:v>
                </c:pt>
                <c:pt idx="193">
                  <c:v>5.132</c:v>
                </c:pt>
                <c:pt idx="194">
                  <c:v>5.071</c:v>
                </c:pt>
                <c:pt idx="195">
                  <c:v>0.375</c:v>
                </c:pt>
                <c:pt idx="196">
                  <c:v>5.193</c:v>
                </c:pt>
                <c:pt idx="197">
                  <c:v>5.224</c:v>
                </c:pt>
                <c:pt idx="198">
                  <c:v>5.235</c:v>
                </c:pt>
                <c:pt idx="199">
                  <c:v>5.24</c:v>
                </c:pt>
                <c:pt idx="200">
                  <c:v>5.252</c:v>
                </c:pt>
                <c:pt idx="201">
                  <c:v>5.254</c:v>
                </c:pt>
                <c:pt idx="202">
                  <c:v>5.254</c:v>
                </c:pt>
                <c:pt idx="203">
                  <c:v>5.259</c:v>
                </c:pt>
                <c:pt idx="204">
                  <c:v>5.262</c:v>
                </c:pt>
                <c:pt idx="205">
                  <c:v>5.261</c:v>
                </c:pt>
                <c:pt idx="206">
                  <c:v>5.27</c:v>
                </c:pt>
                <c:pt idx="207">
                  <c:v>5.269</c:v>
                </c:pt>
                <c:pt idx="208">
                  <c:v>5.267</c:v>
                </c:pt>
                <c:pt idx="209">
                  <c:v>5.278</c:v>
                </c:pt>
                <c:pt idx="210">
                  <c:v>5.272</c:v>
                </c:pt>
                <c:pt idx="211">
                  <c:v>5.286</c:v>
                </c:pt>
                <c:pt idx="212">
                  <c:v>5.292</c:v>
                </c:pt>
                <c:pt idx="213">
                  <c:v>5.297</c:v>
                </c:pt>
                <c:pt idx="214">
                  <c:v>5.31</c:v>
                </c:pt>
                <c:pt idx="215">
                  <c:v>5.315</c:v>
                </c:pt>
                <c:pt idx="216">
                  <c:v>5.319</c:v>
                </c:pt>
                <c:pt idx="217">
                  <c:v>5.323</c:v>
                </c:pt>
                <c:pt idx="218">
                  <c:v>5.326</c:v>
                </c:pt>
                <c:pt idx="219">
                  <c:v>5.321</c:v>
                </c:pt>
                <c:pt idx="220">
                  <c:v>5.328</c:v>
                </c:pt>
                <c:pt idx="221">
                  <c:v>5.329</c:v>
                </c:pt>
                <c:pt idx="222">
                  <c:v>5.32</c:v>
                </c:pt>
                <c:pt idx="223">
                  <c:v>5.312</c:v>
                </c:pt>
                <c:pt idx="224">
                  <c:v>5.338</c:v>
                </c:pt>
                <c:pt idx="225">
                  <c:v>5.34</c:v>
                </c:pt>
                <c:pt idx="226">
                  <c:v>5.24</c:v>
                </c:pt>
                <c:pt idx="227">
                  <c:v>5.195</c:v>
                </c:pt>
                <c:pt idx="228">
                  <c:v>5.203</c:v>
                </c:pt>
                <c:pt idx="229">
                  <c:v>5.128</c:v>
                </c:pt>
                <c:pt idx="230">
                  <c:v>5.142</c:v>
                </c:pt>
                <c:pt idx="231">
                  <c:v>5.142</c:v>
                </c:pt>
                <c:pt idx="232">
                  <c:v>5.046</c:v>
                </c:pt>
                <c:pt idx="233">
                  <c:v>4.979</c:v>
                </c:pt>
                <c:pt idx="234">
                  <c:v>5.03</c:v>
                </c:pt>
                <c:pt idx="235">
                  <c:v>4.994</c:v>
                </c:pt>
                <c:pt idx="236">
                  <c:v>4.973</c:v>
                </c:pt>
                <c:pt idx="237">
                  <c:v>4.905</c:v>
                </c:pt>
                <c:pt idx="238">
                  <c:v>4.881</c:v>
                </c:pt>
                <c:pt idx="239">
                  <c:v>4.852</c:v>
                </c:pt>
                <c:pt idx="240">
                  <c:v>4.836</c:v>
                </c:pt>
                <c:pt idx="241">
                  <c:v>4.827</c:v>
                </c:pt>
                <c:pt idx="242">
                  <c:v>4.822</c:v>
                </c:pt>
                <c:pt idx="243">
                  <c:v>4.656</c:v>
                </c:pt>
                <c:pt idx="244">
                  <c:v>4.539</c:v>
                </c:pt>
                <c:pt idx="245">
                  <c:v>4.539</c:v>
                </c:pt>
                <c:pt idx="246">
                  <c:v>4.544</c:v>
                </c:pt>
                <c:pt idx="247">
                  <c:v>4.26</c:v>
                </c:pt>
                <c:pt idx="248">
                  <c:v>4.254</c:v>
                </c:pt>
                <c:pt idx="249">
                  <c:v>4.273</c:v>
                </c:pt>
                <c:pt idx="250">
                  <c:v>4.249</c:v>
                </c:pt>
                <c:pt idx="251">
                  <c:v>4.213</c:v>
                </c:pt>
                <c:pt idx="252">
                  <c:v>4.205</c:v>
                </c:pt>
                <c:pt idx="253">
                  <c:v>4.159</c:v>
                </c:pt>
                <c:pt idx="254">
                  <c:v>4.152</c:v>
                </c:pt>
                <c:pt idx="255">
                  <c:v>3.945</c:v>
                </c:pt>
                <c:pt idx="256">
                  <c:v>3.834</c:v>
                </c:pt>
                <c:pt idx="257">
                  <c:v>3.833</c:v>
                </c:pt>
                <c:pt idx="258">
                  <c:v>3.906</c:v>
                </c:pt>
                <c:pt idx="259">
                  <c:v>3.701</c:v>
                </c:pt>
                <c:pt idx="260">
                  <c:v>3.652</c:v>
                </c:pt>
                <c:pt idx="261">
                  <c:v>3.679</c:v>
                </c:pt>
                <c:pt idx="262">
                  <c:v>3.511</c:v>
                </c:pt>
                <c:pt idx="263">
                  <c:v>3.477</c:v>
                </c:pt>
                <c:pt idx="264">
                  <c:v>3.419</c:v>
                </c:pt>
                <c:pt idx="265">
                  <c:v>3.381</c:v>
                </c:pt>
                <c:pt idx="266">
                  <c:v>3.354</c:v>
                </c:pt>
                <c:pt idx="267">
                  <c:v>3.369</c:v>
                </c:pt>
                <c:pt idx="268">
                  <c:v>3.372</c:v>
                </c:pt>
                <c:pt idx="269">
                  <c:v>3.364</c:v>
                </c:pt>
                <c:pt idx="270">
                  <c:v>3.351</c:v>
                </c:pt>
                <c:pt idx="271">
                  <c:v>3.189</c:v>
                </c:pt>
                <c:pt idx="272">
                  <c:v>3.196</c:v>
                </c:pt>
                <c:pt idx="273">
                  <c:v>3.171</c:v>
                </c:pt>
                <c:pt idx="274">
                  <c:v>3.088</c:v>
                </c:pt>
                <c:pt idx="275">
                  <c:v>2.679</c:v>
                </c:pt>
                <c:pt idx="276">
                  <c:v>1.703</c:v>
                </c:pt>
                <c:pt idx="277">
                  <c:v>1.575</c:v>
                </c:pt>
                <c:pt idx="278">
                  <c:v>1.398</c:v>
                </c:pt>
                <c:pt idx="279">
                  <c:v>1.733</c:v>
                </c:pt>
                <c:pt idx="280">
                  <c:v>1.935</c:v>
                </c:pt>
                <c:pt idx="281">
                  <c:v>1.62</c:v>
                </c:pt>
                <c:pt idx="282">
                  <c:v>1.371</c:v>
                </c:pt>
                <c:pt idx="283">
                  <c:v>1.224</c:v>
                </c:pt>
                <c:pt idx="284">
                  <c:v>0.996</c:v>
                </c:pt>
                <c:pt idx="285">
                  <c:v>1.062</c:v>
                </c:pt>
                <c:pt idx="286">
                  <c:v>1.08</c:v>
                </c:pt>
                <c:pt idx="287">
                  <c:v>0.958</c:v>
                </c:pt>
                <c:pt idx="288">
                  <c:v>0.876</c:v>
                </c:pt>
                <c:pt idx="289">
                  <c:v>0.827</c:v>
                </c:pt>
                <c:pt idx="290">
                  <c:v>0.989</c:v>
                </c:pt>
                <c:pt idx="291">
                  <c:v>1.282</c:v>
                </c:pt>
                <c:pt idx="292">
                  <c:v>1.255</c:v>
                </c:pt>
                <c:pt idx="293">
                  <c:v>1.114</c:v>
                </c:pt>
                <c:pt idx="294">
                  <c:v>0.923</c:v>
                </c:pt>
                <c:pt idx="295">
                  <c:v>1.008</c:v>
                </c:pt>
                <c:pt idx="296">
                  <c:v>1.37</c:v>
                </c:pt>
                <c:pt idx="297">
                  <c:v>1.587</c:v>
                </c:pt>
                <c:pt idx="298">
                  <c:v>1.361</c:v>
                </c:pt>
                <c:pt idx="299">
                  <c:v>1.216</c:v>
                </c:pt>
                <c:pt idx="300">
                  <c:v>0.274</c:v>
                </c:pt>
                <c:pt idx="301">
                  <c:v>0.081</c:v>
                </c:pt>
                <c:pt idx="302">
                  <c:v>0.026</c:v>
                </c:pt>
                <c:pt idx="303">
                  <c:v>0.002</c:v>
                </c:pt>
                <c:pt idx="304">
                  <c:v>0</c:v>
                </c:pt>
                <c:pt idx="305">
                  <c:v>0.079</c:v>
                </c:pt>
                <c:pt idx="306">
                  <c:v>0.109</c:v>
                </c:pt>
                <c:pt idx="307">
                  <c:v>0.095</c:v>
                </c:pt>
                <c:pt idx="308">
                  <c:v>0.076</c:v>
                </c:pt>
                <c:pt idx="309">
                  <c:v>0.115</c:v>
                </c:pt>
                <c:pt idx="310">
                  <c:v>0.147</c:v>
                </c:pt>
                <c:pt idx="311">
                  <c:v>0.181</c:v>
                </c:pt>
                <c:pt idx="312">
                  <c:v>0.148</c:v>
                </c:pt>
                <c:pt idx="313">
                  <c:v>0.107</c:v>
                </c:pt>
                <c:pt idx="314">
                  <c:v>0.067</c:v>
                </c:pt>
                <c:pt idx="315">
                  <c:v>0.008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0.032</c:v>
                </c:pt>
                <c:pt idx="321">
                  <c:v>0.061</c:v>
                </c:pt>
                <c:pt idx="322">
                  <c:v>0.081</c:v>
                </c:pt>
                <c:pt idx="323">
                  <c:v>0.094</c:v>
                </c:pt>
                <c:pt idx="324">
                  <c:v>0.101</c:v>
                </c:pt>
                <c:pt idx="325">
                  <c:v>0.105</c:v>
                </c:pt>
                <c:pt idx="326">
                  <c:v>0.097</c:v>
                </c:pt>
                <c:pt idx="327">
                  <c:v>0.099</c:v>
                </c:pt>
                <c:pt idx="328">
                  <c:v>0.098</c:v>
                </c:pt>
                <c:pt idx="329">
                  <c:v>0.095</c:v>
                </c:pt>
                <c:pt idx="330">
                  <c:v>0.097</c:v>
                </c:pt>
                <c:pt idx="331">
                  <c:v>0.098</c:v>
                </c:pt>
                <c:pt idx="332">
                  <c:v>0.107</c:v>
                </c:pt>
                <c:pt idx="333">
                  <c:v>0.104</c:v>
                </c:pt>
                <c:pt idx="334">
                  <c:v>0.11</c:v>
                </c:pt>
                <c:pt idx="335">
                  <c:v>0.117</c:v>
                </c:pt>
                <c:pt idx="336">
                  <c:v>0.115</c:v>
                </c:pt>
                <c:pt idx="337">
                  <c:v>0.116</c:v>
                </c:pt>
                <c:pt idx="338">
                  <c:v>0.122</c:v>
                </c:pt>
                <c:pt idx="339">
                  <c:v>0.11</c:v>
                </c:pt>
                <c:pt idx="340">
                  <c:v>0.101</c:v>
                </c:pt>
                <c:pt idx="341">
                  <c:v>0.103</c:v>
                </c:pt>
                <c:pt idx="342">
                  <c:v>0.113</c:v>
                </c:pt>
                <c:pt idx="343">
                  <c:v>0.112</c:v>
                </c:pt>
                <c:pt idx="344">
                  <c:v>0.113</c:v>
                </c:pt>
                <c:pt idx="345">
                  <c:v>0.109</c:v>
                </c:pt>
                <c:pt idx="346">
                  <c:v>0.109</c:v>
                </c:pt>
                <c:pt idx="347">
                  <c:v>0.103</c:v>
                </c:pt>
                <c:pt idx="348">
                  <c:v>0.101</c:v>
                </c:pt>
                <c:pt idx="349">
                  <c:v>0.1</c:v>
                </c:pt>
                <c:pt idx="350">
                  <c:v>0.105</c:v>
                </c:pt>
                <c:pt idx="351">
                  <c:v>0.105</c:v>
                </c:pt>
                <c:pt idx="352">
                  <c:v>0.109</c:v>
                </c:pt>
                <c:pt idx="353">
                  <c:v>0.115</c:v>
                </c:pt>
                <c:pt idx="354">
                  <c:v>0.117</c:v>
                </c:pt>
                <c:pt idx="355">
                  <c:v>0.113</c:v>
                </c:pt>
                <c:pt idx="356">
                  <c:v>0.117</c:v>
                </c:pt>
                <c:pt idx="357">
                  <c:v>0.123</c:v>
                </c:pt>
                <c:pt idx="358">
                  <c:v>0.128</c:v>
                </c:pt>
                <c:pt idx="359">
                  <c:v>0.13</c:v>
                </c:pt>
                <c:pt idx="360">
                  <c:v>0.125</c:v>
                </c:pt>
                <c:pt idx="361">
                  <c:v>0.128</c:v>
                </c:pt>
                <c:pt idx="362">
                  <c:v>0.125</c:v>
                </c:pt>
                <c:pt idx="363">
                  <c:v>0.128</c:v>
                </c:pt>
                <c:pt idx="364">
                  <c:v>0.124</c:v>
                </c:pt>
                <c:pt idx="365">
                  <c:v>0.126</c:v>
                </c:pt>
                <c:pt idx="366">
                  <c:v>0.122</c:v>
                </c:pt>
                <c:pt idx="367">
                  <c:v>0.12</c:v>
                </c:pt>
                <c:pt idx="368">
                  <c:v>0.121</c:v>
                </c:pt>
                <c:pt idx="369">
                  <c:v>0.119</c:v>
                </c:pt>
                <c:pt idx="370">
                  <c:v>0.126</c:v>
                </c:pt>
                <c:pt idx="371">
                  <c:v>0.125</c:v>
                </c:pt>
                <c:pt idx="372">
                  <c:v>0.129</c:v>
                </c:pt>
                <c:pt idx="373">
                  <c:v>0.125</c:v>
                </c:pt>
                <c:pt idx="374">
                  <c:v>0.128</c:v>
                </c:pt>
                <c:pt idx="375">
                  <c:v>0.126</c:v>
                </c:pt>
                <c:pt idx="376">
                  <c:v>0.121</c:v>
                </c:pt>
                <c:pt idx="377">
                  <c:v>0.125</c:v>
                </c:pt>
                <c:pt idx="378">
                  <c:v>0.124</c:v>
                </c:pt>
                <c:pt idx="379">
                  <c:v>0.124</c:v>
                </c:pt>
                <c:pt idx="380">
                  <c:v>0.122</c:v>
                </c:pt>
                <c:pt idx="381">
                  <c:v>0.122</c:v>
                </c:pt>
                <c:pt idx="382">
                  <c:v>0.122</c:v>
                </c:pt>
                <c:pt idx="383">
                  <c:v>0.118</c:v>
                </c:pt>
                <c:pt idx="384">
                  <c:v>0.121</c:v>
                </c:pt>
                <c:pt idx="385">
                  <c:v>0.117</c:v>
                </c:pt>
                <c:pt idx="386">
                  <c:v>0.116</c:v>
                </c:pt>
                <c:pt idx="387">
                  <c:v>0.119</c:v>
                </c:pt>
                <c:pt idx="388">
                  <c:v>0.119</c:v>
                </c:pt>
                <c:pt idx="389">
                  <c:v>0.122</c:v>
                </c:pt>
                <c:pt idx="390">
                  <c:v>0.119</c:v>
                </c:pt>
                <c:pt idx="391">
                  <c:v>0.125</c:v>
                </c:pt>
                <c:pt idx="392">
                  <c:v>0.118</c:v>
                </c:pt>
                <c:pt idx="393">
                  <c:v>0.121</c:v>
                </c:pt>
                <c:pt idx="394">
                  <c:v>0.118</c:v>
                </c:pt>
                <c:pt idx="395">
                  <c:v>0.119</c:v>
                </c:pt>
                <c:pt idx="396">
                  <c:v>0.114</c:v>
                </c:pt>
                <c:pt idx="397">
                  <c:v>0.119</c:v>
                </c:pt>
                <c:pt idx="398">
                  <c:v>0.121</c:v>
                </c:pt>
                <c:pt idx="399">
                  <c:v>0.121</c:v>
                </c:pt>
                <c:pt idx="400">
                  <c:v>0.122</c:v>
                </c:pt>
                <c:pt idx="401">
                  <c:v>0.119</c:v>
                </c:pt>
                <c:pt idx="402">
                  <c:v>0.119</c:v>
                </c:pt>
                <c:pt idx="403">
                  <c:v>0.125</c:v>
                </c:pt>
                <c:pt idx="404">
                  <c:v>0.117</c:v>
                </c:pt>
                <c:pt idx="405">
                  <c:v>0.124</c:v>
                </c:pt>
                <c:pt idx="406">
                  <c:v>0.122</c:v>
                </c:pt>
                <c:pt idx="407">
                  <c:v>0.124</c:v>
                </c:pt>
                <c:pt idx="408">
                  <c:v>0.128</c:v>
                </c:pt>
                <c:pt idx="409">
                  <c:v>0.121</c:v>
                </c:pt>
                <c:pt idx="410">
                  <c:v>0.127</c:v>
                </c:pt>
                <c:pt idx="411">
                  <c:v>0.125</c:v>
                </c:pt>
                <c:pt idx="412">
                  <c:v>0.127</c:v>
                </c:pt>
                <c:pt idx="413">
                  <c:v>0.125</c:v>
                </c:pt>
                <c:pt idx="414">
                  <c:v>0.127</c:v>
                </c:pt>
                <c:pt idx="415">
                  <c:v>0.125</c:v>
                </c:pt>
                <c:pt idx="416">
                  <c:v>0.128</c:v>
                </c:pt>
                <c:pt idx="417">
                  <c:v>0.131</c:v>
                </c:pt>
                <c:pt idx="418">
                  <c:v>0.127</c:v>
                </c:pt>
                <c:pt idx="419">
                  <c:v>0.129</c:v>
                </c:pt>
                <c:pt idx="420">
                  <c:v>0.124</c:v>
                </c:pt>
                <c:pt idx="421">
                  <c:v>0.129</c:v>
                </c:pt>
                <c:pt idx="422">
                  <c:v>0.12</c:v>
                </c:pt>
                <c:pt idx="423">
                  <c:v>0.122</c:v>
                </c:pt>
                <c:pt idx="424">
                  <c:v>0.124</c:v>
                </c:pt>
                <c:pt idx="425">
                  <c:v>0.124</c:v>
                </c:pt>
                <c:pt idx="426">
                  <c:v>0.125</c:v>
                </c:pt>
                <c:pt idx="427">
                  <c:v>0.127</c:v>
                </c:pt>
                <c:pt idx="428">
                  <c:v>0.125</c:v>
                </c:pt>
                <c:pt idx="429">
                  <c:v>0.129</c:v>
                </c:pt>
                <c:pt idx="430">
                  <c:v>0.125</c:v>
                </c:pt>
                <c:pt idx="431">
                  <c:v>0.129</c:v>
                </c:pt>
                <c:pt idx="432">
                  <c:v>0.129</c:v>
                </c:pt>
                <c:pt idx="433">
                  <c:v>0.124</c:v>
                </c:pt>
                <c:pt idx="434">
                  <c:v>0.125</c:v>
                </c:pt>
                <c:pt idx="435">
                  <c:v>0.13</c:v>
                </c:pt>
                <c:pt idx="436">
                  <c:v>0.128</c:v>
                </c:pt>
                <c:pt idx="437">
                  <c:v>0.129</c:v>
                </c:pt>
                <c:pt idx="438">
                  <c:v>0.128</c:v>
                </c:pt>
                <c:pt idx="439">
                  <c:v>0.133</c:v>
                </c:pt>
                <c:pt idx="440">
                  <c:v>0.131</c:v>
                </c:pt>
                <c:pt idx="441">
                  <c:v>0.128</c:v>
                </c:pt>
                <c:pt idx="442">
                  <c:v>0.13</c:v>
                </c:pt>
                <c:pt idx="443">
                  <c:v>0.13</c:v>
                </c:pt>
                <c:pt idx="444">
                  <c:v>0.131</c:v>
                </c:pt>
                <c:pt idx="445">
                  <c:v>0.121</c:v>
                </c:pt>
                <c:pt idx="446">
                  <c:v>0.118</c:v>
                </c:pt>
                <c:pt idx="447">
                  <c:v>0.135</c:v>
                </c:pt>
                <c:pt idx="448">
                  <c:v>0.149</c:v>
                </c:pt>
                <c:pt idx="449">
                  <c:v>0.192</c:v>
                </c:pt>
                <c:pt idx="450">
                  <c:v>0.206</c:v>
                </c:pt>
                <c:pt idx="451">
                  <c:v>0.211</c:v>
                </c:pt>
                <c:pt idx="452">
                  <c:v>0.248</c:v>
                </c:pt>
                <c:pt idx="453">
                  <c:v>0.258</c:v>
                </c:pt>
                <c:pt idx="454">
                  <c:v>0.255</c:v>
                </c:pt>
                <c:pt idx="455">
                  <c:v>3.732</c:v>
                </c:pt>
                <c:pt idx="456">
                  <c:v>1.722</c:v>
                </c:pt>
                <c:pt idx="457">
                  <c:v>1.313</c:v>
                </c:pt>
                <c:pt idx="458">
                  <c:v>0.645</c:v>
                </c:pt>
                <c:pt idx="459">
                  <c:v>0.188</c:v>
                </c:pt>
                <c:pt idx="460">
                  <c:v>0.162</c:v>
                </c:pt>
                <c:pt idx="461">
                  <c:v>0.114</c:v>
                </c:pt>
                <c:pt idx="462">
                  <c:v>0.07</c:v>
                </c:pt>
                <c:pt idx="463">
                  <c:v>0.079</c:v>
                </c:pt>
                <c:pt idx="464">
                  <c:v>0.054</c:v>
                </c:pt>
                <c:pt idx="465">
                  <c:v>0.053</c:v>
                </c:pt>
                <c:pt idx="466">
                  <c:v>0.061</c:v>
                </c:pt>
                <c:pt idx="467">
                  <c:v>0.065</c:v>
                </c:pt>
                <c:pt idx="468">
                  <c:v>0.072</c:v>
                </c:pt>
                <c:pt idx="469">
                  <c:v>0.07</c:v>
                </c:pt>
                <c:pt idx="470">
                  <c:v>0.058</c:v>
                </c:pt>
                <c:pt idx="471">
                  <c:v>0.061</c:v>
                </c:pt>
                <c:pt idx="472">
                  <c:v>0.058</c:v>
                </c:pt>
                <c:pt idx="473">
                  <c:v>0.049</c:v>
                </c:pt>
                <c:pt idx="474">
                  <c:v>0.062</c:v>
                </c:pt>
                <c:pt idx="475">
                  <c:v>0.045</c:v>
                </c:pt>
                <c:pt idx="476">
                  <c:v>0.056</c:v>
                </c:pt>
                <c:pt idx="477">
                  <c:v>0.051</c:v>
                </c:pt>
                <c:pt idx="478">
                  <c:v>0.05</c:v>
                </c:pt>
                <c:pt idx="479">
                  <c:v>0.038</c:v>
                </c:pt>
                <c:pt idx="480">
                  <c:v>0.038</c:v>
                </c:pt>
                <c:pt idx="481">
                  <c:v>0.029</c:v>
                </c:pt>
                <c:pt idx="482">
                  <c:v>0.025</c:v>
                </c:pt>
                <c:pt idx="483">
                  <c:v>0.027</c:v>
                </c:pt>
                <c:pt idx="484">
                  <c:v>0.021</c:v>
                </c:pt>
                <c:pt idx="485">
                  <c:v>0.021</c:v>
                </c:pt>
                <c:pt idx="486">
                  <c:v>0.019</c:v>
                </c:pt>
                <c:pt idx="487">
                  <c:v>0.022</c:v>
                </c:pt>
                <c:pt idx="488">
                  <c:v>0.036</c:v>
                </c:pt>
                <c:pt idx="489">
                  <c:v>0.037</c:v>
                </c:pt>
                <c:pt idx="490">
                  <c:v>0.053</c:v>
                </c:pt>
                <c:pt idx="491">
                  <c:v>0.041</c:v>
                </c:pt>
                <c:pt idx="492">
                  <c:v>0.055</c:v>
                </c:pt>
                <c:pt idx="493">
                  <c:v>0.06</c:v>
                </c:pt>
                <c:pt idx="494">
                  <c:v>0.051</c:v>
                </c:pt>
                <c:pt idx="495">
                  <c:v>0.095</c:v>
                </c:pt>
                <c:pt idx="496">
                  <c:v>0.171</c:v>
                </c:pt>
                <c:pt idx="497">
                  <c:v>0.234</c:v>
                </c:pt>
                <c:pt idx="498">
                  <c:v>2.987</c:v>
                </c:pt>
                <c:pt idx="499">
                  <c:v>0.597</c:v>
                </c:pt>
                <c:pt idx="500">
                  <c:v>0.228</c:v>
                </c:pt>
                <c:pt idx="501">
                  <c:v>0.434</c:v>
                </c:pt>
                <c:pt idx="502">
                  <c:v>0.279</c:v>
                </c:pt>
                <c:pt idx="503">
                  <c:v>0.627</c:v>
                </c:pt>
                <c:pt idx="504">
                  <c:v>0.621</c:v>
                </c:pt>
                <c:pt idx="505">
                  <c:v>0.677</c:v>
                </c:pt>
                <c:pt idx="506">
                  <c:v>0.834</c:v>
                </c:pt>
                <c:pt idx="507">
                  <c:v>3.037</c:v>
                </c:pt>
                <c:pt idx="508">
                  <c:v>2.576</c:v>
                </c:pt>
                <c:pt idx="509">
                  <c:v>2.147</c:v>
                </c:pt>
                <c:pt idx="510">
                  <c:v>0.172</c:v>
                </c:pt>
                <c:pt idx="511">
                  <c:v>0.193</c:v>
                </c:pt>
                <c:pt idx="512">
                  <c:v>0.138</c:v>
                </c:pt>
                <c:pt idx="513">
                  <c:v>0.06</c:v>
                </c:pt>
                <c:pt idx="514">
                  <c:v>0.045</c:v>
                </c:pt>
                <c:pt idx="515">
                  <c:v>0.083</c:v>
                </c:pt>
                <c:pt idx="516">
                  <c:v>0.153</c:v>
                </c:pt>
                <c:pt idx="517">
                  <c:v>0.197</c:v>
                </c:pt>
                <c:pt idx="518">
                  <c:v>0.18</c:v>
                </c:pt>
                <c:pt idx="519">
                  <c:v>0.134</c:v>
                </c:pt>
                <c:pt idx="520">
                  <c:v>0.147</c:v>
                </c:pt>
                <c:pt idx="521">
                  <c:v>0.159</c:v>
                </c:pt>
                <c:pt idx="522">
                  <c:v>0.155</c:v>
                </c:pt>
                <c:pt idx="523">
                  <c:v>0.158</c:v>
                </c:pt>
                <c:pt idx="524">
                  <c:v>0.155</c:v>
                </c:pt>
                <c:pt idx="525">
                  <c:v>0.163</c:v>
                </c:pt>
                <c:pt idx="526">
                  <c:v>0.224</c:v>
                </c:pt>
                <c:pt idx="527">
                  <c:v>0.282</c:v>
                </c:pt>
                <c:pt idx="528">
                  <c:v>0.154</c:v>
                </c:pt>
                <c:pt idx="529">
                  <c:v>0.127</c:v>
                </c:pt>
                <c:pt idx="530">
                  <c:v>0.133</c:v>
                </c:pt>
                <c:pt idx="531">
                  <c:v>0.149</c:v>
                </c:pt>
                <c:pt idx="532">
                  <c:v>0.117</c:v>
                </c:pt>
                <c:pt idx="533">
                  <c:v>0.073</c:v>
                </c:pt>
                <c:pt idx="534">
                  <c:v>0.142</c:v>
                </c:pt>
                <c:pt idx="535">
                  <c:v>0.127</c:v>
                </c:pt>
                <c:pt idx="536">
                  <c:v>0.115</c:v>
                </c:pt>
                <c:pt idx="537">
                  <c:v>0.169</c:v>
                </c:pt>
                <c:pt idx="538">
                  <c:v>0.143</c:v>
                </c:pt>
                <c:pt idx="539">
                  <c:v>0.069</c:v>
                </c:pt>
                <c:pt idx="540">
                  <c:v>0.047</c:v>
                </c:pt>
                <c:pt idx="541">
                  <c:v>0.042</c:v>
                </c:pt>
                <c:pt idx="542">
                  <c:v>0.05</c:v>
                </c:pt>
                <c:pt idx="543">
                  <c:v>0.045</c:v>
                </c:pt>
                <c:pt idx="544">
                  <c:v>0.051</c:v>
                </c:pt>
                <c:pt idx="545">
                  <c:v>0.045</c:v>
                </c:pt>
                <c:pt idx="546">
                  <c:v>0.05</c:v>
                </c:pt>
                <c:pt idx="547">
                  <c:v>0.05</c:v>
                </c:pt>
                <c:pt idx="548">
                  <c:v>0.047</c:v>
                </c:pt>
                <c:pt idx="549">
                  <c:v>0.038</c:v>
                </c:pt>
                <c:pt idx="550">
                  <c:v>0.045</c:v>
                </c:pt>
                <c:pt idx="551">
                  <c:v>0.048</c:v>
                </c:pt>
                <c:pt idx="552">
                  <c:v>0.026</c:v>
                </c:pt>
                <c:pt idx="553">
                  <c:v>0.026</c:v>
                </c:pt>
                <c:pt idx="554">
                  <c:v>0.024</c:v>
                </c:pt>
                <c:pt idx="555">
                  <c:v>0.032</c:v>
                </c:pt>
                <c:pt idx="556">
                  <c:v>0.026</c:v>
                </c:pt>
                <c:pt idx="557">
                  <c:v>0.026</c:v>
                </c:pt>
                <c:pt idx="558">
                  <c:v>0.027</c:v>
                </c:pt>
                <c:pt idx="559">
                  <c:v>0.025</c:v>
                </c:pt>
                <c:pt idx="560">
                  <c:v>0.028</c:v>
                </c:pt>
                <c:pt idx="561">
                  <c:v>0.026</c:v>
                </c:pt>
                <c:pt idx="562">
                  <c:v>0.022</c:v>
                </c:pt>
                <c:pt idx="563">
                  <c:v>0.019</c:v>
                </c:pt>
                <c:pt idx="564">
                  <c:v>0.02</c:v>
                </c:pt>
                <c:pt idx="565">
                  <c:v>0.019</c:v>
                </c:pt>
                <c:pt idx="566">
                  <c:v>0.017</c:v>
                </c:pt>
                <c:pt idx="567">
                  <c:v>0.017</c:v>
                </c:pt>
                <c:pt idx="568">
                  <c:v>0.014</c:v>
                </c:pt>
                <c:pt idx="569">
                  <c:v>0.014</c:v>
                </c:pt>
                <c:pt idx="570">
                  <c:v>0.014</c:v>
                </c:pt>
                <c:pt idx="571">
                  <c:v>0.015</c:v>
                </c:pt>
                <c:pt idx="572">
                  <c:v>0.011</c:v>
                </c:pt>
                <c:pt idx="573">
                  <c:v>0.013</c:v>
                </c:pt>
                <c:pt idx="574">
                  <c:v>0.011</c:v>
                </c:pt>
                <c:pt idx="575">
                  <c:v>0.01</c:v>
                </c:pt>
                <c:pt idx="576">
                  <c:v>0.01</c:v>
                </c:pt>
                <c:pt idx="577">
                  <c:v>0.011</c:v>
                </c:pt>
                <c:pt idx="578">
                  <c:v>0.011</c:v>
                </c:pt>
                <c:pt idx="579">
                  <c:v>0.009</c:v>
                </c:pt>
                <c:pt idx="580">
                  <c:v>0.01</c:v>
                </c:pt>
                <c:pt idx="581">
                  <c:v>0.011</c:v>
                </c:pt>
                <c:pt idx="582">
                  <c:v>0.011</c:v>
                </c:pt>
                <c:pt idx="583">
                  <c:v>0.01</c:v>
                </c:pt>
                <c:pt idx="584">
                  <c:v>0.01</c:v>
                </c:pt>
                <c:pt idx="585">
                  <c:v>0.011</c:v>
                </c:pt>
                <c:pt idx="586">
                  <c:v>0.01</c:v>
                </c:pt>
                <c:pt idx="587">
                  <c:v>0.011</c:v>
                </c:pt>
                <c:pt idx="588">
                  <c:v>0.011</c:v>
                </c:pt>
                <c:pt idx="589">
                  <c:v>0.008</c:v>
                </c:pt>
                <c:pt idx="590">
                  <c:v>0.008</c:v>
                </c:pt>
                <c:pt idx="591">
                  <c:v>0.011</c:v>
                </c:pt>
                <c:pt idx="592">
                  <c:v>0.011</c:v>
                </c:pt>
                <c:pt idx="593">
                  <c:v>0.009</c:v>
                </c:pt>
                <c:pt idx="594">
                  <c:v>0.011</c:v>
                </c:pt>
                <c:pt idx="595">
                  <c:v>0.01</c:v>
                </c:pt>
                <c:pt idx="596">
                  <c:v>0.011</c:v>
                </c:pt>
                <c:pt idx="597">
                  <c:v>0.009</c:v>
                </c:pt>
                <c:pt idx="598">
                  <c:v>0.01</c:v>
                </c:pt>
                <c:pt idx="599">
                  <c:v>0.01</c:v>
                </c:pt>
                <c:pt idx="600">
                  <c:v>0.009</c:v>
                </c:pt>
                <c:pt idx="601">
                  <c:v>0.009</c:v>
                </c:pt>
                <c:pt idx="602">
                  <c:v>0.01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 (est.)"</c:f>
              <c:strCache>
                <c:ptCount val="1"/>
                <c:pt idx="0">
                  <c:v>Load power (est.)</c:v>
                </c:pt>
              </c:strCache>
            </c:strRef>
          </c:tx>
          <c:spPr>
            <a:solidFill>
              <a:srgbClr val="2a78d6"/>
            </a:solidFill>
            <a:ln w="158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Data!$A$2:$A$604</c:f>
              <c:numCache>
                <c:formatCode>General</c:formatCode>
                <c:ptCount val="603"/>
                <c:pt idx="0">
                  <c:v>174.84</c:v>
                </c:pt>
                <c:pt idx="1">
                  <c:v>175.03</c:v>
                </c:pt>
                <c:pt idx="2">
                  <c:v>175.24</c:v>
                </c:pt>
                <c:pt idx="3">
                  <c:v>175.44</c:v>
                </c:pt>
                <c:pt idx="4">
                  <c:v>175.63</c:v>
                </c:pt>
                <c:pt idx="5">
                  <c:v>175.84</c:v>
                </c:pt>
                <c:pt idx="6">
                  <c:v>176.03</c:v>
                </c:pt>
                <c:pt idx="7">
                  <c:v>176.24</c:v>
                </c:pt>
                <c:pt idx="8">
                  <c:v>176.44</c:v>
                </c:pt>
                <c:pt idx="9">
                  <c:v>176.63</c:v>
                </c:pt>
                <c:pt idx="10">
                  <c:v>176.84</c:v>
                </c:pt>
                <c:pt idx="11">
                  <c:v>177.03</c:v>
                </c:pt>
                <c:pt idx="12">
                  <c:v>177.24</c:v>
                </c:pt>
                <c:pt idx="13">
                  <c:v>177.44</c:v>
                </c:pt>
                <c:pt idx="14">
                  <c:v>177.63</c:v>
                </c:pt>
                <c:pt idx="15">
                  <c:v>177.84</c:v>
                </c:pt>
                <c:pt idx="16">
                  <c:v>178.03</c:v>
                </c:pt>
                <c:pt idx="17">
                  <c:v>178.24</c:v>
                </c:pt>
                <c:pt idx="18">
                  <c:v>178.44</c:v>
                </c:pt>
                <c:pt idx="19">
                  <c:v>178.63</c:v>
                </c:pt>
                <c:pt idx="20">
                  <c:v>178.83</c:v>
                </c:pt>
                <c:pt idx="21">
                  <c:v>179.03</c:v>
                </c:pt>
                <c:pt idx="22">
                  <c:v>179.23</c:v>
                </c:pt>
                <c:pt idx="23">
                  <c:v>179.44</c:v>
                </c:pt>
                <c:pt idx="24">
                  <c:v>179.64</c:v>
                </c:pt>
                <c:pt idx="25">
                  <c:v>179.84</c:v>
                </c:pt>
                <c:pt idx="26">
                  <c:v>180.04</c:v>
                </c:pt>
                <c:pt idx="27">
                  <c:v>180.24</c:v>
                </c:pt>
                <c:pt idx="28">
                  <c:v>180.44</c:v>
                </c:pt>
                <c:pt idx="29">
                  <c:v>180.64</c:v>
                </c:pt>
                <c:pt idx="30">
                  <c:v>180.84</c:v>
                </c:pt>
                <c:pt idx="31">
                  <c:v>181.04</c:v>
                </c:pt>
                <c:pt idx="32">
                  <c:v>181.24</c:v>
                </c:pt>
                <c:pt idx="33">
                  <c:v>181.44</c:v>
                </c:pt>
                <c:pt idx="34">
                  <c:v>181.64</c:v>
                </c:pt>
                <c:pt idx="35">
                  <c:v>181.84</c:v>
                </c:pt>
                <c:pt idx="36">
                  <c:v>182.04</c:v>
                </c:pt>
                <c:pt idx="37">
                  <c:v>182.24</c:v>
                </c:pt>
                <c:pt idx="38">
                  <c:v>182.44</c:v>
                </c:pt>
                <c:pt idx="39">
                  <c:v>182.64</c:v>
                </c:pt>
                <c:pt idx="40">
                  <c:v>182.84</c:v>
                </c:pt>
                <c:pt idx="41">
                  <c:v>183.04</c:v>
                </c:pt>
                <c:pt idx="42">
                  <c:v>183.24</c:v>
                </c:pt>
                <c:pt idx="43">
                  <c:v>183.44</c:v>
                </c:pt>
                <c:pt idx="44">
                  <c:v>183.64</c:v>
                </c:pt>
                <c:pt idx="45">
                  <c:v>183.84</c:v>
                </c:pt>
                <c:pt idx="46">
                  <c:v>184.03</c:v>
                </c:pt>
                <c:pt idx="47">
                  <c:v>184.23</c:v>
                </c:pt>
                <c:pt idx="48">
                  <c:v>184.43</c:v>
                </c:pt>
                <c:pt idx="49">
                  <c:v>184.63</c:v>
                </c:pt>
                <c:pt idx="50">
                  <c:v>184.83</c:v>
                </c:pt>
                <c:pt idx="51">
                  <c:v>185.03</c:v>
                </c:pt>
                <c:pt idx="52">
                  <c:v>185.24</c:v>
                </c:pt>
                <c:pt idx="53">
                  <c:v>185.44</c:v>
                </c:pt>
                <c:pt idx="54">
                  <c:v>185.64</c:v>
                </c:pt>
                <c:pt idx="55">
                  <c:v>185.84</c:v>
                </c:pt>
                <c:pt idx="56">
                  <c:v>186.04</c:v>
                </c:pt>
                <c:pt idx="57">
                  <c:v>186.24</c:v>
                </c:pt>
                <c:pt idx="58">
                  <c:v>186.44</c:v>
                </c:pt>
                <c:pt idx="59">
                  <c:v>186.64</c:v>
                </c:pt>
                <c:pt idx="60">
                  <c:v>186.84</c:v>
                </c:pt>
                <c:pt idx="61">
                  <c:v>187.04</c:v>
                </c:pt>
                <c:pt idx="62">
                  <c:v>187.24</c:v>
                </c:pt>
                <c:pt idx="63">
                  <c:v>187.44</c:v>
                </c:pt>
                <c:pt idx="64">
                  <c:v>187.64</c:v>
                </c:pt>
                <c:pt idx="65">
                  <c:v>187.84</c:v>
                </c:pt>
                <c:pt idx="66">
                  <c:v>188.04</c:v>
                </c:pt>
                <c:pt idx="67">
                  <c:v>188.24</c:v>
                </c:pt>
                <c:pt idx="68">
                  <c:v>188.44</c:v>
                </c:pt>
                <c:pt idx="69">
                  <c:v>188.64</c:v>
                </c:pt>
                <c:pt idx="70">
                  <c:v>188.84</c:v>
                </c:pt>
                <c:pt idx="71">
                  <c:v>189.04</c:v>
                </c:pt>
                <c:pt idx="72">
                  <c:v>189.24</c:v>
                </c:pt>
                <c:pt idx="73">
                  <c:v>189.44</c:v>
                </c:pt>
                <c:pt idx="74">
                  <c:v>189.64</c:v>
                </c:pt>
                <c:pt idx="75">
                  <c:v>189.84</c:v>
                </c:pt>
                <c:pt idx="76">
                  <c:v>190.04</c:v>
                </c:pt>
                <c:pt idx="77">
                  <c:v>190.24</c:v>
                </c:pt>
                <c:pt idx="78">
                  <c:v>190.44</c:v>
                </c:pt>
                <c:pt idx="79">
                  <c:v>190.64</c:v>
                </c:pt>
                <c:pt idx="80">
                  <c:v>190.84</c:v>
                </c:pt>
                <c:pt idx="81">
                  <c:v>191.04</c:v>
                </c:pt>
                <c:pt idx="82">
                  <c:v>191.24</c:v>
                </c:pt>
                <c:pt idx="83">
                  <c:v>191.44</c:v>
                </c:pt>
                <c:pt idx="84">
                  <c:v>191.64</c:v>
                </c:pt>
                <c:pt idx="85">
                  <c:v>191.84</c:v>
                </c:pt>
                <c:pt idx="86">
                  <c:v>192.04</c:v>
                </c:pt>
                <c:pt idx="87">
                  <c:v>192.24</c:v>
                </c:pt>
                <c:pt idx="88">
                  <c:v>192.44</c:v>
                </c:pt>
                <c:pt idx="89">
                  <c:v>192.64</c:v>
                </c:pt>
                <c:pt idx="90">
                  <c:v>192.84</c:v>
                </c:pt>
                <c:pt idx="91">
                  <c:v>193.04</c:v>
                </c:pt>
                <c:pt idx="92">
                  <c:v>193.24</c:v>
                </c:pt>
                <c:pt idx="93">
                  <c:v>193.44</c:v>
                </c:pt>
                <c:pt idx="94">
                  <c:v>193.64</c:v>
                </c:pt>
                <c:pt idx="95">
                  <c:v>193.84</c:v>
                </c:pt>
                <c:pt idx="96">
                  <c:v>194.04</c:v>
                </c:pt>
                <c:pt idx="97">
                  <c:v>194.24</c:v>
                </c:pt>
                <c:pt idx="98">
                  <c:v>194.44</c:v>
                </c:pt>
                <c:pt idx="99">
                  <c:v>194.64</c:v>
                </c:pt>
                <c:pt idx="100">
                  <c:v>194.84</c:v>
                </c:pt>
                <c:pt idx="101">
                  <c:v>195.04</c:v>
                </c:pt>
                <c:pt idx="102">
                  <c:v>195.24</c:v>
                </c:pt>
                <c:pt idx="103">
                  <c:v>195.44</c:v>
                </c:pt>
                <c:pt idx="104">
                  <c:v>195.64</c:v>
                </c:pt>
                <c:pt idx="105">
                  <c:v>195.84</c:v>
                </c:pt>
                <c:pt idx="106">
                  <c:v>196.04</c:v>
                </c:pt>
                <c:pt idx="107">
                  <c:v>196.24</c:v>
                </c:pt>
                <c:pt idx="108">
                  <c:v>196.44</c:v>
                </c:pt>
                <c:pt idx="109">
                  <c:v>196.64</c:v>
                </c:pt>
                <c:pt idx="110">
                  <c:v>196.84</c:v>
                </c:pt>
                <c:pt idx="111">
                  <c:v>197.04</c:v>
                </c:pt>
                <c:pt idx="112">
                  <c:v>197.24</c:v>
                </c:pt>
                <c:pt idx="113">
                  <c:v>197.44</c:v>
                </c:pt>
                <c:pt idx="114">
                  <c:v>197.64</c:v>
                </c:pt>
                <c:pt idx="115">
                  <c:v>197.84</c:v>
                </c:pt>
                <c:pt idx="116">
                  <c:v>198.04</c:v>
                </c:pt>
                <c:pt idx="117">
                  <c:v>198.24</c:v>
                </c:pt>
                <c:pt idx="118">
                  <c:v>198.44</c:v>
                </c:pt>
                <c:pt idx="119">
                  <c:v>198.64</c:v>
                </c:pt>
                <c:pt idx="120">
                  <c:v>198.84</c:v>
                </c:pt>
                <c:pt idx="121">
                  <c:v>199.04</c:v>
                </c:pt>
                <c:pt idx="122">
                  <c:v>199.24</c:v>
                </c:pt>
                <c:pt idx="123">
                  <c:v>199.44</c:v>
                </c:pt>
                <c:pt idx="124">
                  <c:v>199.64</c:v>
                </c:pt>
                <c:pt idx="125">
                  <c:v>199.84</c:v>
                </c:pt>
                <c:pt idx="126">
                  <c:v>200.04</c:v>
                </c:pt>
                <c:pt idx="127">
                  <c:v>200.24</c:v>
                </c:pt>
                <c:pt idx="128">
                  <c:v>200.44</c:v>
                </c:pt>
                <c:pt idx="129">
                  <c:v>200.64</c:v>
                </c:pt>
                <c:pt idx="130">
                  <c:v>200.84</c:v>
                </c:pt>
                <c:pt idx="131">
                  <c:v>201.04</c:v>
                </c:pt>
                <c:pt idx="132">
                  <c:v>201.24</c:v>
                </c:pt>
                <c:pt idx="133">
                  <c:v>201.44</c:v>
                </c:pt>
                <c:pt idx="134">
                  <c:v>201.64</c:v>
                </c:pt>
                <c:pt idx="135">
                  <c:v>201.84</c:v>
                </c:pt>
                <c:pt idx="136">
                  <c:v>202.04</c:v>
                </c:pt>
                <c:pt idx="137">
                  <c:v>202.24</c:v>
                </c:pt>
                <c:pt idx="138">
                  <c:v>202.44</c:v>
                </c:pt>
                <c:pt idx="139">
                  <c:v>202.64</c:v>
                </c:pt>
                <c:pt idx="140">
                  <c:v>202.84</c:v>
                </c:pt>
                <c:pt idx="141">
                  <c:v>203.04</c:v>
                </c:pt>
                <c:pt idx="142">
                  <c:v>203.24</c:v>
                </c:pt>
                <c:pt idx="143">
                  <c:v>203.44</c:v>
                </c:pt>
                <c:pt idx="144">
                  <c:v>203.64</c:v>
                </c:pt>
                <c:pt idx="145">
                  <c:v>203.84</c:v>
                </c:pt>
                <c:pt idx="146">
                  <c:v>204.04</c:v>
                </c:pt>
                <c:pt idx="147">
                  <c:v>204.24</c:v>
                </c:pt>
                <c:pt idx="148">
                  <c:v>204.44</c:v>
                </c:pt>
                <c:pt idx="149">
                  <c:v>204.64</c:v>
                </c:pt>
                <c:pt idx="150">
                  <c:v>204.84</c:v>
                </c:pt>
                <c:pt idx="151">
                  <c:v>205.04</c:v>
                </c:pt>
                <c:pt idx="152">
                  <c:v>205.24</c:v>
                </c:pt>
                <c:pt idx="153">
                  <c:v>205.44</c:v>
                </c:pt>
                <c:pt idx="154">
                  <c:v>205.64</c:v>
                </c:pt>
                <c:pt idx="155">
                  <c:v>205.84</c:v>
                </c:pt>
                <c:pt idx="156">
                  <c:v>206.04</c:v>
                </c:pt>
                <c:pt idx="157">
                  <c:v>206.24</c:v>
                </c:pt>
                <c:pt idx="158">
                  <c:v>206.44</c:v>
                </c:pt>
                <c:pt idx="159">
                  <c:v>206.64</c:v>
                </c:pt>
                <c:pt idx="160">
                  <c:v>206.84</c:v>
                </c:pt>
                <c:pt idx="161">
                  <c:v>207.04</c:v>
                </c:pt>
                <c:pt idx="162">
                  <c:v>207.24</c:v>
                </c:pt>
                <c:pt idx="163">
                  <c:v>207.44</c:v>
                </c:pt>
                <c:pt idx="164">
                  <c:v>207.64</c:v>
                </c:pt>
                <c:pt idx="165">
                  <c:v>207.84</c:v>
                </c:pt>
                <c:pt idx="166">
                  <c:v>208.04</c:v>
                </c:pt>
                <c:pt idx="167">
                  <c:v>208.24</c:v>
                </c:pt>
                <c:pt idx="168">
                  <c:v>208.44</c:v>
                </c:pt>
                <c:pt idx="169">
                  <c:v>208.64</c:v>
                </c:pt>
                <c:pt idx="170">
                  <c:v>208.84</c:v>
                </c:pt>
                <c:pt idx="171">
                  <c:v>209.04</c:v>
                </c:pt>
                <c:pt idx="172">
                  <c:v>209.24</c:v>
                </c:pt>
                <c:pt idx="173">
                  <c:v>209.44</c:v>
                </c:pt>
                <c:pt idx="174">
                  <c:v>209.64</c:v>
                </c:pt>
                <c:pt idx="175">
                  <c:v>209.84</c:v>
                </c:pt>
                <c:pt idx="176">
                  <c:v>210.04</c:v>
                </c:pt>
                <c:pt idx="177">
                  <c:v>210.24</c:v>
                </c:pt>
                <c:pt idx="178">
                  <c:v>210.44</c:v>
                </c:pt>
                <c:pt idx="179">
                  <c:v>210.64</c:v>
                </c:pt>
                <c:pt idx="180">
                  <c:v>210.84</c:v>
                </c:pt>
                <c:pt idx="181">
                  <c:v>211.04</c:v>
                </c:pt>
                <c:pt idx="182">
                  <c:v>211.24</c:v>
                </c:pt>
                <c:pt idx="183">
                  <c:v>211.44</c:v>
                </c:pt>
                <c:pt idx="184">
                  <c:v>211.64</c:v>
                </c:pt>
                <c:pt idx="185">
                  <c:v>211.84</c:v>
                </c:pt>
                <c:pt idx="186">
                  <c:v>212.04</c:v>
                </c:pt>
                <c:pt idx="187">
                  <c:v>212.24</c:v>
                </c:pt>
                <c:pt idx="188">
                  <c:v>212.44</c:v>
                </c:pt>
                <c:pt idx="189">
                  <c:v>212.64</c:v>
                </c:pt>
                <c:pt idx="190">
                  <c:v>212.84</c:v>
                </c:pt>
                <c:pt idx="191">
                  <c:v>213.04</c:v>
                </c:pt>
                <c:pt idx="192">
                  <c:v>213.24</c:v>
                </c:pt>
                <c:pt idx="193">
                  <c:v>213.44</c:v>
                </c:pt>
                <c:pt idx="194">
                  <c:v>213.64</c:v>
                </c:pt>
                <c:pt idx="195">
                  <c:v>213.84</c:v>
                </c:pt>
                <c:pt idx="196">
                  <c:v>214.04</c:v>
                </c:pt>
                <c:pt idx="197">
                  <c:v>214.24</c:v>
                </c:pt>
                <c:pt idx="198">
                  <c:v>214.44</c:v>
                </c:pt>
                <c:pt idx="199">
                  <c:v>214.64</c:v>
                </c:pt>
                <c:pt idx="200">
                  <c:v>214.84</c:v>
                </c:pt>
                <c:pt idx="201">
                  <c:v>215.04</c:v>
                </c:pt>
                <c:pt idx="202">
                  <c:v>215.24</c:v>
                </c:pt>
                <c:pt idx="203">
                  <c:v>215.44</c:v>
                </c:pt>
                <c:pt idx="204">
                  <c:v>215.64</c:v>
                </c:pt>
                <c:pt idx="205">
                  <c:v>215.84</c:v>
                </c:pt>
                <c:pt idx="206">
                  <c:v>216.04</c:v>
                </c:pt>
                <c:pt idx="207">
                  <c:v>216.24</c:v>
                </c:pt>
                <c:pt idx="208">
                  <c:v>216.44</c:v>
                </c:pt>
                <c:pt idx="209">
                  <c:v>216.64</c:v>
                </c:pt>
                <c:pt idx="210">
                  <c:v>216.84</c:v>
                </c:pt>
                <c:pt idx="211">
                  <c:v>217.04</c:v>
                </c:pt>
                <c:pt idx="212">
                  <c:v>217.24</c:v>
                </c:pt>
                <c:pt idx="213">
                  <c:v>217.44</c:v>
                </c:pt>
                <c:pt idx="214">
                  <c:v>217.64</c:v>
                </c:pt>
                <c:pt idx="215">
                  <c:v>217.84</c:v>
                </c:pt>
                <c:pt idx="216">
                  <c:v>218.04</c:v>
                </c:pt>
                <c:pt idx="217">
                  <c:v>218.24</c:v>
                </c:pt>
                <c:pt idx="218">
                  <c:v>218.44</c:v>
                </c:pt>
                <c:pt idx="219">
                  <c:v>218.64</c:v>
                </c:pt>
                <c:pt idx="220">
                  <c:v>218.84</c:v>
                </c:pt>
                <c:pt idx="221">
                  <c:v>219.04</c:v>
                </c:pt>
                <c:pt idx="222">
                  <c:v>219.24</c:v>
                </c:pt>
                <c:pt idx="223">
                  <c:v>219.44</c:v>
                </c:pt>
                <c:pt idx="224">
                  <c:v>219.64</c:v>
                </c:pt>
                <c:pt idx="225">
                  <c:v>219.84</c:v>
                </c:pt>
                <c:pt idx="226">
                  <c:v>220.04</c:v>
                </c:pt>
                <c:pt idx="227">
                  <c:v>220.24</c:v>
                </c:pt>
                <c:pt idx="228">
                  <c:v>220.44</c:v>
                </c:pt>
                <c:pt idx="229">
                  <c:v>220.64</c:v>
                </c:pt>
                <c:pt idx="230">
                  <c:v>220.84</c:v>
                </c:pt>
                <c:pt idx="231">
                  <c:v>221.04</c:v>
                </c:pt>
                <c:pt idx="232">
                  <c:v>221.24</c:v>
                </c:pt>
                <c:pt idx="233">
                  <c:v>221.44</c:v>
                </c:pt>
                <c:pt idx="234">
                  <c:v>221.64</c:v>
                </c:pt>
                <c:pt idx="235">
                  <c:v>221.84</c:v>
                </c:pt>
                <c:pt idx="236">
                  <c:v>222.04</c:v>
                </c:pt>
                <c:pt idx="237">
                  <c:v>222.25</c:v>
                </c:pt>
                <c:pt idx="238">
                  <c:v>222.45</c:v>
                </c:pt>
                <c:pt idx="239">
                  <c:v>222.65</c:v>
                </c:pt>
                <c:pt idx="240">
                  <c:v>222.85</c:v>
                </c:pt>
                <c:pt idx="241">
                  <c:v>223.05</c:v>
                </c:pt>
                <c:pt idx="242">
                  <c:v>223.27</c:v>
                </c:pt>
                <c:pt idx="243">
                  <c:v>223.46</c:v>
                </c:pt>
                <c:pt idx="244">
                  <c:v>223.66</c:v>
                </c:pt>
                <c:pt idx="245">
                  <c:v>223.86</c:v>
                </c:pt>
                <c:pt idx="246">
                  <c:v>224.06</c:v>
                </c:pt>
                <c:pt idx="247">
                  <c:v>224.26</c:v>
                </c:pt>
                <c:pt idx="248">
                  <c:v>224.46</c:v>
                </c:pt>
                <c:pt idx="249">
                  <c:v>224.66</c:v>
                </c:pt>
                <c:pt idx="250">
                  <c:v>224.86</c:v>
                </c:pt>
                <c:pt idx="251">
                  <c:v>225.06</c:v>
                </c:pt>
                <c:pt idx="252">
                  <c:v>225.26</c:v>
                </c:pt>
                <c:pt idx="253">
                  <c:v>225.46</c:v>
                </c:pt>
                <c:pt idx="254">
                  <c:v>225.66</c:v>
                </c:pt>
                <c:pt idx="255">
                  <c:v>225.86</c:v>
                </c:pt>
                <c:pt idx="256">
                  <c:v>226.06</c:v>
                </c:pt>
                <c:pt idx="257">
                  <c:v>226.26</c:v>
                </c:pt>
                <c:pt idx="258">
                  <c:v>226.46</c:v>
                </c:pt>
                <c:pt idx="259">
                  <c:v>226.66</c:v>
                </c:pt>
                <c:pt idx="260">
                  <c:v>226.86</c:v>
                </c:pt>
                <c:pt idx="261">
                  <c:v>227.06</c:v>
                </c:pt>
                <c:pt idx="262">
                  <c:v>227.26</c:v>
                </c:pt>
                <c:pt idx="263">
                  <c:v>227.46</c:v>
                </c:pt>
                <c:pt idx="264">
                  <c:v>227.66</c:v>
                </c:pt>
                <c:pt idx="265">
                  <c:v>227.86</c:v>
                </c:pt>
                <c:pt idx="266">
                  <c:v>228.06</c:v>
                </c:pt>
                <c:pt idx="267">
                  <c:v>228.26</c:v>
                </c:pt>
                <c:pt idx="268">
                  <c:v>228.46</c:v>
                </c:pt>
                <c:pt idx="269">
                  <c:v>228.66</c:v>
                </c:pt>
                <c:pt idx="270">
                  <c:v>228.86</c:v>
                </c:pt>
                <c:pt idx="271">
                  <c:v>229.06</c:v>
                </c:pt>
                <c:pt idx="272">
                  <c:v>229.26</c:v>
                </c:pt>
                <c:pt idx="273">
                  <c:v>229.46</c:v>
                </c:pt>
                <c:pt idx="274">
                  <c:v>229.66</c:v>
                </c:pt>
                <c:pt idx="275">
                  <c:v>229.86</c:v>
                </c:pt>
                <c:pt idx="276">
                  <c:v>230.06</c:v>
                </c:pt>
                <c:pt idx="277">
                  <c:v>230.26</c:v>
                </c:pt>
                <c:pt idx="278">
                  <c:v>230.46</c:v>
                </c:pt>
                <c:pt idx="279">
                  <c:v>230.66</c:v>
                </c:pt>
                <c:pt idx="280">
                  <c:v>230.86</c:v>
                </c:pt>
                <c:pt idx="281">
                  <c:v>231.06</c:v>
                </c:pt>
                <c:pt idx="282">
                  <c:v>231.26</c:v>
                </c:pt>
                <c:pt idx="283">
                  <c:v>231.46</c:v>
                </c:pt>
                <c:pt idx="284">
                  <c:v>231.66</c:v>
                </c:pt>
                <c:pt idx="285">
                  <c:v>231.86</c:v>
                </c:pt>
                <c:pt idx="286">
                  <c:v>232.06</c:v>
                </c:pt>
                <c:pt idx="287">
                  <c:v>232.26</c:v>
                </c:pt>
                <c:pt idx="288">
                  <c:v>232.46</c:v>
                </c:pt>
                <c:pt idx="289">
                  <c:v>232.66</c:v>
                </c:pt>
                <c:pt idx="290">
                  <c:v>232.86</c:v>
                </c:pt>
                <c:pt idx="291">
                  <c:v>233.06</c:v>
                </c:pt>
                <c:pt idx="292">
                  <c:v>233.26</c:v>
                </c:pt>
                <c:pt idx="293">
                  <c:v>233.46</c:v>
                </c:pt>
                <c:pt idx="294">
                  <c:v>233.66</c:v>
                </c:pt>
                <c:pt idx="295">
                  <c:v>233.86</c:v>
                </c:pt>
                <c:pt idx="296">
                  <c:v>234.06</c:v>
                </c:pt>
                <c:pt idx="297">
                  <c:v>234.26</c:v>
                </c:pt>
                <c:pt idx="298">
                  <c:v>234.46</c:v>
                </c:pt>
                <c:pt idx="299">
                  <c:v>234.66</c:v>
                </c:pt>
                <c:pt idx="300">
                  <c:v>234.86</c:v>
                </c:pt>
                <c:pt idx="301">
                  <c:v>235.06</c:v>
                </c:pt>
                <c:pt idx="302">
                  <c:v>235.26</c:v>
                </c:pt>
                <c:pt idx="303">
                  <c:v>235.46</c:v>
                </c:pt>
                <c:pt idx="304">
                  <c:v>235.66</c:v>
                </c:pt>
                <c:pt idx="305">
                  <c:v>235.86</c:v>
                </c:pt>
                <c:pt idx="306">
                  <c:v>236.06</c:v>
                </c:pt>
                <c:pt idx="307">
                  <c:v>236.26</c:v>
                </c:pt>
                <c:pt idx="308">
                  <c:v>236.46</c:v>
                </c:pt>
                <c:pt idx="309">
                  <c:v>236.66</c:v>
                </c:pt>
                <c:pt idx="310">
                  <c:v>236.86</c:v>
                </c:pt>
                <c:pt idx="311">
                  <c:v>237.06</c:v>
                </c:pt>
                <c:pt idx="312">
                  <c:v>237.26</c:v>
                </c:pt>
                <c:pt idx="313">
                  <c:v>237.46</c:v>
                </c:pt>
                <c:pt idx="314">
                  <c:v>237.66</c:v>
                </c:pt>
                <c:pt idx="315">
                  <c:v>237.86</c:v>
                </c:pt>
                <c:pt idx="316">
                  <c:v>238.06</c:v>
                </c:pt>
                <c:pt idx="317">
                  <c:v>238.26</c:v>
                </c:pt>
                <c:pt idx="318">
                  <c:v>238.46</c:v>
                </c:pt>
                <c:pt idx="319">
                  <c:v>238.66</c:v>
                </c:pt>
                <c:pt idx="320">
                  <c:v>238.86</c:v>
                </c:pt>
                <c:pt idx="321">
                  <c:v>239.06</c:v>
                </c:pt>
                <c:pt idx="322">
                  <c:v>239.26</c:v>
                </c:pt>
                <c:pt idx="323">
                  <c:v>239.46</c:v>
                </c:pt>
                <c:pt idx="324">
                  <c:v>239.66</c:v>
                </c:pt>
                <c:pt idx="325">
                  <c:v>239.86</c:v>
                </c:pt>
                <c:pt idx="326">
                  <c:v>240.06</c:v>
                </c:pt>
                <c:pt idx="327">
                  <c:v>240.26</c:v>
                </c:pt>
                <c:pt idx="328">
                  <c:v>240.46</c:v>
                </c:pt>
                <c:pt idx="329">
                  <c:v>240.66</c:v>
                </c:pt>
                <c:pt idx="330">
                  <c:v>240.86</c:v>
                </c:pt>
                <c:pt idx="331">
                  <c:v>241.06</c:v>
                </c:pt>
                <c:pt idx="332">
                  <c:v>241.26</c:v>
                </c:pt>
                <c:pt idx="333">
                  <c:v>241.46</c:v>
                </c:pt>
                <c:pt idx="334">
                  <c:v>241.66</c:v>
                </c:pt>
                <c:pt idx="335">
                  <c:v>241.86</c:v>
                </c:pt>
                <c:pt idx="336">
                  <c:v>242.06</c:v>
                </c:pt>
                <c:pt idx="337">
                  <c:v>242.26</c:v>
                </c:pt>
                <c:pt idx="338">
                  <c:v>242.46</c:v>
                </c:pt>
                <c:pt idx="339">
                  <c:v>242.66</c:v>
                </c:pt>
                <c:pt idx="340">
                  <c:v>242.86</c:v>
                </c:pt>
                <c:pt idx="341">
                  <c:v>243.06</c:v>
                </c:pt>
                <c:pt idx="342">
                  <c:v>243.26</c:v>
                </c:pt>
                <c:pt idx="343">
                  <c:v>243.46</c:v>
                </c:pt>
                <c:pt idx="344">
                  <c:v>243.66</c:v>
                </c:pt>
                <c:pt idx="345">
                  <c:v>243.86</c:v>
                </c:pt>
                <c:pt idx="346">
                  <c:v>244.06</c:v>
                </c:pt>
                <c:pt idx="347">
                  <c:v>244.26</c:v>
                </c:pt>
                <c:pt idx="348">
                  <c:v>244.46</c:v>
                </c:pt>
                <c:pt idx="349">
                  <c:v>244.66</c:v>
                </c:pt>
                <c:pt idx="350">
                  <c:v>244.86</c:v>
                </c:pt>
                <c:pt idx="351">
                  <c:v>245.06</c:v>
                </c:pt>
                <c:pt idx="352">
                  <c:v>245.26</c:v>
                </c:pt>
                <c:pt idx="353">
                  <c:v>245.46</c:v>
                </c:pt>
                <c:pt idx="354">
                  <c:v>245.66</c:v>
                </c:pt>
                <c:pt idx="355">
                  <c:v>245.86</c:v>
                </c:pt>
                <c:pt idx="356">
                  <c:v>246.06</c:v>
                </c:pt>
                <c:pt idx="357">
                  <c:v>246.26</c:v>
                </c:pt>
                <c:pt idx="358">
                  <c:v>246.46</c:v>
                </c:pt>
                <c:pt idx="359">
                  <c:v>246.66</c:v>
                </c:pt>
                <c:pt idx="360">
                  <c:v>246.86</c:v>
                </c:pt>
                <c:pt idx="361">
                  <c:v>247.06</c:v>
                </c:pt>
                <c:pt idx="362">
                  <c:v>247.26</c:v>
                </c:pt>
                <c:pt idx="363">
                  <c:v>247.46</c:v>
                </c:pt>
                <c:pt idx="364">
                  <c:v>247.66</c:v>
                </c:pt>
                <c:pt idx="365">
                  <c:v>247.86</c:v>
                </c:pt>
                <c:pt idx="366">
                  <c:v>248.06</c:v>
                </c:pt>
                <c:pt idx="367">
                  <c:v>248.26</c:v>
                </c:pt>
                <c:pt idx="368">
                  <c:v>248.46</c:v>
                </c:pt>
                <c:pt idx="369">
                  <c:v>248.66</c:v>
                </c:pt>
                <c:pt idx="370">
                  <c:v>248.86</c:v>
                </c:pt>
                <c:pt idx="371">
                  <c:v>249.06</c:v>
                </c:pt>
                <c:pt idx="372">
                  <c:v>249.26</c:v>
                </c:pt>
                <c:pt idx="373">
                  <c:v>249.46</c:v>
                </c:pt>
                <c:pt idx="374">
                  <c:v>249.66</c:v>
                </c:pt>
                <c:pt idx="375">
                  <c:v>249.86</c:v>
                </c:pt>
                <c:pt idx="376">
                  <c:v>250.06</c:v>
                </c:pt>
                <c:pt idx="377">
                  <c:v>250.26</c:v>
                </c:pt>
                <c:pt idx="378">
                  <c:v>250.46</c:v>
                </c:pt>
                <c:pt idx="379">
                  <c:v>250.66</c:v>
                </c:pt>
                <c:pt idx="380">
                  <c:v>250.86</c:v>
                </c:pt>
                <c:pt idx="381">
                  <c:v>251.06</c:v>
                </c:pt>
                <c:pt idx="382">
                  <c:v>251.26</c:v>
                </c:pt>
                <c:pt idx="383">
                  <c:v>251.46</c:v>
                </c:pt>
                <c:pt idx="384">
                  <c:v>251.66</c:v>
                </c:pt>
                <c:pt idx="385">
                  <c:v>251.86</c:v>
                </c:pt>
                <c:pt idx="386">
                  <c:v>252.06</c:v>
                </c:pt>
                <c:pt idx="387">
                  <c:v>252.26</c:v>
                </c:pt>
                <c:pt idx="388">
                  <c:v>252.46</c:v>
                </c:pt>
                <c:pt idx="389">
                  <c:v>252.66</c:v>
                </c:pt>
                <c:pt idx="390">
                  <c:v>252.86</c:v>
                </c:pt>
                <c:pt idx="391">
                  <c:v>253.06</c:v>
                </c:pt>
                <c:pt idx="392">
                  <c:v>253.26</c:v>
                </c:pt>
                <c:pt idx="393">
                  <c:v>253.46</c:v>
                </c:pt>
                <c:pt idx="394">
                  <c:v>253.66</c:v>
                </c:pt>
                <c:pt idx="395">
                  <c:v>253.86</c:v>
                </c:pt>
                <c:pt idx="396">
                  <c:v>254.06</c:v>
                </c:pt>
                <c:pt idx="397">
                  <c:v>254.26</c:v>
                </c:pt>
                <c:pt idx="398">
                  <c:v>254.46</c:v>
                </c:pt>
                <c:pt idx="399">
                  <c:v>254.66</c:v>
                </c:pt>
                <c:pt idx="400">
                  <c:v>254.86</c:v>
                </c:pt>
                <c:pt idx="401">
                  <c:v>255.06</c:v>
                </c:pt>
                <c:pt idx="402">
                  <c:v>255.26</c:v>
                </c:pt>
                <c:pt idx="403">
                  <c:v>255.46</c:v>
                </c:pt>
                <c:pt idx="404">
                  <c:v>255.66</c:v>
                </c:pt>
                <c:pt idx="405">
                  <c:v>255.86</c:v>
                </c:pt>
                <c:pt idx="406">
                  <c:v>256.06</c:v>
                </c:pt>
                <c:pt idx="407">
                  <c:v>256.26</c:v>
                </c:pt>
                <c:pt idx="408">
                  <c:v>256.46</c:v>
                </c:pt>
                <c:pt idx="409">
                  <c:v>256.66</c:v>
                </c:pt>
                <c:pt idx="410">
                  <c:v>256.86</c:v>
                </c:pt>
                <c:pt idx="411">
                  <c:v>257.06</c:v>
                </c:pt>
                <c:pt idx="412">
                  <c:v>257.26</c:v>
                </c:pt>
                <c:pt idx="413">
                  <c:v>257.46</c:v>
                </c:pt>
                <c:pt idx="414">
                  <c:v>257.66</c:v>
                </c:pt>
                <c:pt idx="415">
                  <c:v>257.86</c:v>
                </c:pt>
                <c:pt idx="416">
                  <c:v>258.06</c:v>
                </c:pt>
                <c:pt idx="417">
                  <c:v>258.26</c:v>
                </c:pt>
                <c:pt idx="418">
                  <c:v>258.46</c:v>
                </c:pt>
                <c:pt idx="419">
                  <c:v>258.66</c:v>
                </c:pt>
                <c:pt idx="420">
                  <c:v>258.86</c:v>
                </c:pt>
                <c:pt idx="421">
                  <c:v>259.06</c:v>
                </c:pt>
                <c:pt idx="422">
                  <c:v>259.26</c:v>
                </c:pt>
                <c:pt idx="423">
                  <c:v>259.46</c:v>
                </c:pt>
                <c:pt idx="424">
                  <c:v>259.66</c:v>
                </c:pt>
                <c:pt idx="425">
                  <c:v>259.86</c:v>
                </c:pt>
                <c:pt idx="426">
                  <c:v>260.06</c:v>
                </c:pt>
                <c:pt idx="427">
                  <c:v>260.26</c:v>
                </c:pt>
                <c:pt idx="428">
                  <c:v>260.46</c:v>
                </c:pt>
                <c:pt idx="429">
                  <c:v>260.66</c:v>
                </c:pt>
                <c:pt idx="430">
                  <c:v>260.86</c:v>
                </c:pt>
                <c:pt idx="431">
                  <c:v>261.06</c:v>
                </c:pt>
                <c:pt idx="432">
                  <c:v>261.26</c:v>
                </c:pt>
                <c:pt idx="433">
                  <c:v>261.46</c:v>
                </c:pt>
                <c:pt idx="434">
                  <c:v>261.66</c:v>
                </c:pt>
                <c:pt idx="435">
                  <c:v>261.86</c:v>
                </c:pt>
                <c:pt idx="436">
                  <c:v>262.06</c:v>
                </c:pt>
                <c:pt idx="437">
                  <c:v>262.26</c:v>
                </c:pt>
                <c:pt idx="438">
                  <c:v>262.46</c:v>
                </c:pt>
                <c:pt idx="439">
                  <c:v>262.66</c:v>
                </c:pt>
                <c:pt idx="440">
                  <c:v>262.86</c:v>
                </c:pt>
                <c:pt idx="441">
                  <c:v>263.06</c:v>
                </c:pt>
                <c:pt idx="442">
                  <c:v>263.26</c:v>
                </c:pt>
                <c:pt idx="443">
                  <c:v>263.47</c:v>
                </c:pt>
                <c:pt idx="444">
                  <c:v>263.67</c:v>
                </c:pt>
                <c:pt idx="445">
                  <c:v>263.87</c:v>
                </c:pt>
                <c:pt idx="446">
                  <c:v>264.08</c:v>
                </c:pt>
                <c:pt idx="447">
                  <c:v>264.28</c:v>
                </c:pt>
                <c:pt idx="448">
                  <c:v>264.48</c:v>
                </c:pt>
                <c:pt idx="449">
                  <c:v>264.68</c:v>
                </c:pt>
                <c:pt idx="450">
                  <c:v>264.88</c:v>
                </c:pt>
                <c:pt idx="451">
                  <c:v>265.08</c:v>
                </c:pt>
                <c:pt idx="452">
                  <c:v>265.28</c:v>
                </c:pt>
                <c:pt idx="453">
                  <c:v>265.48</c:v>
                </c:pt>
                <c:pt idx="454">
                  <c:v>265.68</c:v>
                </c:pt>
                <c:pt idx="455">
                  <c:v>265.88</c:v>
                </c:pt>
                <c:pt idx="456">
                  <c:v>266.08</c:v>
                </c:pt>
                <c:pt idx="457">
                  <c:v>266.28</c:v>
                </c:pt>
                <c:pt idx="458">
                  <c:v>266.48</c:v>
                </c:pt>
                <c:pt idx="459">
                  <c:v>266.68</c:v>
                </c:pt>
                <c:pt idx="460">
                  <c:v>266.88</c:v>
                </c:pt>
                <c:pt idx="461">
                  <c:v>267.08</c:v>
                </c:pt>
                <c:pt idx="462">
                  <c:v>267.28</c:v>
                </c:pt>
                <c:pt idx="463">
                  <c:v>267.48</c:v>
                </c:pt>
                <c:pt idx="464">
                  <c:v>267.68</c:v>
                </c:pt>
                <c:pt idx="465">
                  <c:v>267.88</c:v>
                </c:pt>
                <c:pt idx="466">
                  <c:v>268.08</c:v>
                </c:pt>
                <c:pt idx="467">
                  <c:v>268.28</c:v>
                </c:pt>
                <c:pt idx="468">
                  <c:v>268.48</c:v>
                </c:pt>
                <c:pt idx="469">
                  <c:v>268.68</c:v>
                </c:pt>
                <c:pt idx="470">
                  <c:v>268.88</c:v>
                </c:pt>
                <c:pt idx="471">
                  <c:v>269.08</c:v>
                </c:pt>
                <c:pt idx="472">
                  <c:v>269.28</c:v>
                </c:pt>
                <c:pt idx="473">
                  <c:v>269.48</c:v>
                </c:pt>
                <c:pt idx="474">
                  <c:v>269.68</c:v>
                </c:pt>
                <c:pt idx="475">
                  <c:v>269.88</c:v>
                </c:pt>
                <c:pt idx="476">
                  <c:v>270.08</c:v>
                </c:pt>
                <c:pt idx="477">
                  <c:v>270.28</c:v>
                </c:pt>
                <c:pt idx="478">
                  <c:v>270.48</c:v>
                </c:pt>
                <c:pt idx="479">
                  <c:v>270.68</c:v>
                </c:pt>
                <c:pt idx="480">
                  <c:v>270.88</c:v>
                </c:pt>
                <c:pt idx="481">
                  <c:v>271.08</c:v>
                </c:pt>
                <c:pt idx="482">
                  <c:v>271.28</c:v>
                </c:pt>
                <c:pt idx="483">
                  <c:v>271.48</c:v>
                </c:pt>
                <c:pt idx="484">
                  <c:v>271.68</c:v>
                </c:pt>
                <c:pt idx="485">
                  <c:v>271.88</c:v>
                </c:pt>
                <c:pt idx="486">
                  <c:v>272.08</c:v>
                </c:pt>
                <c:pt idx="487">
                  <c:v>272.28</c:v>
                </c:pt>
                <c:pt idx="488">
                  <c:v>272.48</c:v>
                </c:pt>
                <c:pt idx="489">
                  <c:v>272.68</c:v>
                </c:pt>
                <c:pt idx="490">
                  <c:v>272.88</c:v>
                </c:pt>
                <c:pt idx="491">
                  <c:v>273.08</c:v>
                </c:pt>
                <c:pt idx="492">
                  <c:v>273.28</c:v>
                </c:pt>
                <c:pt idx="493">
                  <c:v>273.48</c:v>
                </c:pt>
                <c:pt idx="494">
                  <c:v>273.68</c:v>
                </c:pt>
                <c:pt idx="495">
                  <c:v>273.88</c:v>
                </c:pt>
                <c:pt idx="496">
                  <c:v>274.08</c:v>
                </c:pt>
                <c:pt idx="497">
                  <c:v>274.28</c:v>
                </c:pt>
                <c:pt idx="498">
                  <c:v>274.48</c:v>
                </c:pt>
                <c:pt idx="499">
                  <c:v>274.68</c:v>
                </c:pt>
                <c:pt idx="500">
                  <c:v>274.88</c:v>
                </c:pt>
                <c:pt idx="501">
                  <c:v>275.08</c:v>
                </c:pt>
                <c:pt idx="502">
                  <c:v>275.28</c:v>
                </c:pt>
                <c:pt idx="503">
                  <c:v>275.48</c:v>
                </c:pt>
                <c:pt idx="504">
                  <c:v>275.68</c:v>
                </c:pt>
                <c:pt idx="505">
                  <c:v>275.88</c:v>
                </c:pt>
                <c:pt idx="506">
                  <c:v>276.08</c:v>
                </c:pt>
                <c:pt idx="507">
                  <c:v>276.28</c:v>
                </c:pt>
                <c:pt idx="508">
                  <c:v>276.48</c:v>
                </c:pt>
                <c:pt idx="509">
                  <c:v>276.68</c:v>
                </c:pt>
                <c:pt idx="510">
                  <c:v>276.88</c:v>
                </c:pt>
                <c:pt idx="511">
                  <c:v>277.08</c:v>
                </c:pt>
                <c:pt idx="512">
                  <c:v>277.28</c:v>
                </c:pt>
                <c:pt idx="513">
                  <c:v>277.48</c:v>
                </c:pt>
                <c:pt idx="514">
                  <c:v>277.68</c:v>
                </c:pt>
                <c:pt idx="515">
                  <c:v>277.88</c:v>
                </c:pt>
                <c:pt idx="516">
                  <c:v>278.08</c:v>
                </c:pt>
                <c:pt idx="517">
                  <c:v>278.28</c:v>
                </c:pt>
                <c:pt idx="518">
                  <c:v>278.48</c:v>
                </c:pt>
                <c:pt idx="519">
                  <c:v>278.68</c:v>
                </c:pt>
                <c:pt idx="520">
                  <c:v>278.88</c:v>
                </c:pt>
                <c:pt idx="521">
                  <c:v>279.08</c:v>
                </c:pt>
                <c:pt idx="522">
                  <c:v>279.28</c:v>
                </c:pt>
                <c:pt idx="523">
                  <c:v>279.48</c:v>
                </c:pt>
                <c:pt idx="524">
                  <c:v>279.68</c:v>
                </c:pt>
                <c:pt idx="525">
                  <c:v>279.88</c:v>
                </c:pt>
                <c:pt idx="526">
                  <c:v>280.08</c:v>
                </c:pt>
                <c:pt idx="527">
                  <c:v>280.28</c:v>
                </c:pt>
                <c:pt idx="528">
                  <c:v>280.48</c:v>
                </c:pt>
                <c:pt idx="529">
                  <c:v>280.68</c:v>
                </c:pt>
                <c:pt idx="530">
                  <c:v>280.88</c:v>
                </c:pt>
                <c:pt idx="531">
                  <c:v>281.08</c:v>
                </c:pt>
                <c:pt idx="532">
                  <c:v>281.28</c:v>
                </c:pt>
                <c:pt idx="533">
                  <c:v>281.48</c:v>
                </c:pt>
                <c:pt idx="534">
                  <c:v>281.68</c:v>
                </c:pt>
                <c:pt idx="535">
                  <c:v>281.88</c:v>
                </c:pt>
                <c:pt idx="536">
                  <c:v>282.08</c:v>
                </c:pt>
                <c:pt idx="537">
                  <c:v>282.28</c:v>
                </c:pt>
                <c:pt idx="538">
                  <c:v>282.51</c:v>
                </c:pt>
                <c:pt idx="539">
                  <c:v>282.69</c:v>
                </c:pt>
                <c:pt idx="540">
                  <c:v>282.89</c:v>
                </c:pt>
                <c:pt idx="541">
                  <c:v>283.1</c:v>
                </c:pt>
                <c:pt idx="542">
                  <c:v>283.3</c:v>
                </c:pt>
                <c:pt idx="543">
                  <c:v>283.52</c:v>
                </c:pt>
                <c:pt idx="544">
                  <c:v>283.7</c:v>
                </c:pt>
                <c:pt idx="545">
                  <c:v>283.9</c:v>
                </c:pt>
                <c:pt idx="546">
                  <c:v>284.11</c:v>
                </c:pt>
                <c:pt idx="547">
                  <c:v>284.3</c:v>
                </c:pt>
                <c:pt idx="548">
                  <c:v>284.5</c:v>
                </c:pt>
                <c:pt idx="549">
                  <c:v>284.7</c:v>
                </c:pt>
                <c:pt idx="550">
                  <c:v>284.9</c:v>
                </c:pt>
                <c:pt idx="551">
                  <c:v>285.1</c:v>
                </c:pt>
                <c:pt idx="552">
                  <c:v>285.31</c:v>
                </c:pt>
                <c:pt idx="553">
                  <c:v>285.51</c:v>
                </c:pt>
                <c:pt idx="554">
                  <c:v>285.71</c:v>
                </c:pt>
                <c:pt idx="555">
                  <c:v>285.91</c:v>
                </c:pt>
                <c:pt idx="556">
                  <c:v>286.11</c:v>
                </c:pt>
                <c:pt idx="557">
                  <c:v>286.31</c:v>
                </c:pt>
                <c:pt idx="558">
                  <c:v>286.51</c:v>
                </c:pt>
                <c:pt idx="559">
                  <c:v>286.71</c:v>
                </c:pt>
                <c:pt idx="560">
                  <c:v>286.91</c:v>
                </c:pt>
                <c:pt idx="561">
                  <c:v>287.11</c:v>
                </c:pt>
                <c:pt idx="562">
                  <c:v>287.31</c:v>
                </c:pt>
                <c:pt idx="563">
                  <c:v>287.51</c:v>
                </c:pt>
                <c:pt idx="564">
                  <c:v>287.71</c:v>
                </c:pt>
                <c:pt idx="565">
                  <c:v>287.91</c:v>
                </c:pt>
                <c:pt idx="566">
                  <c:v>288.11</c:v>
                </c:pt>
                <c:pt idx="567">
                  <c:v>288.31</c:v>
                </c:pt>
                <c:pt idx="568">
                  <c:v>288.51</c:v>
                </c:pt>
                <c:pt idx="569">
                  <c:v>288.71</c:v>
                </c:pt>
                <c:pt idx="570">
                  <c:v>288.91</c:v>
                </c:pt>
                <c:pt idx="571">
                  <c:v>289.11</c:v>
                </c:pt>
                <c:pt idx="572">
                  <c:v>289.31</c:v>
                </c:pt>
                <c:pt idx="573">
                  <c:v>289.51</c:v>
                </c:pt>
                <c:pt idx="574">
                  <c:v>289.71</c:v>
                </c:pt>
                <c:pt idx="575">
                  <c:v>289.91</c:v>
                </c:pt>
                <c:pt idx="576">
                  <c:v>290.11</c:v>
                </c:pt>
                <c:pt idx="577">
                  <c:v>290.31</c:v>
                </c:pt>
                <c:pt idx="578">
                  <c:v>290.51</c:v>
                </c:pt>
                <c:pt idx="579">
                  <c:v>290.71</c:v>
                </c:pt>
                <c:pt idx="580">
                  <c:v>290.91</c:v>
                </c:pt>
                <c:pt idx="581">
                  <c:v>291.11</c:v>
                </c:pt>
                <c:pt idx="582">
                  <c:v>291.31</c:v>
                </c:pt>
                <c:pt idx="583">
                  <c:v>291.51</c:v>
                </c:pt>
                <c:pt idx="584">
                  <c:v>291.71</c:v>
                </c:pt>
                <c:pt idx="585">
                  <c:v>291.91</c:v>
                </c:pt>
                <c:pt idx="586">
                  <c:v>292.11</c:v>
                </c:pt>
                <c:pt idx="587">
                  <c:v>292.31</c:v>
                </c:pt>
                <c:pt idx="588">
                  <c:v>292.51</c:v>
                </c:pt>
                <c:pt idx="589">
                  <c:v>292.71</c:v>
                </c:pt>
                <c:pt idx="590">
                  <c:v>292.91</c:v>
                </c:pt>
                <c:pt idx="591">
                  <c:v>293.11</c:v>
                </c:pt>
                <c:pt idx="592">
                  <c:v>293.31</c:v>
                </c:pt>
                <c:pt idx="593">
                  <c:v>293.51</c:v>
                </c:pt>
                <c:pt idx="594">
                  <c:v>293.71</c:v>
                </c:pt>
                <c:pt idx="595">
                  <c:v>293.91</c:v>
                </c:pt>
                <c:pt idx="596">
                  <c:v>294.11</c:v>
                </c:pt>
                <c:pt idx="597">
                  <c:v>294.31</c:v>
                </c:pt>
                <c:pt idx="598">
                  <c:v>294.51</c:v>
                </c:pt>
                <c:pt idx="599">
                  <c:v>294.71</c:v>
                </c:pt>
                <c:pt idx="600">
                  <c:v>294.91</c:v>
                </c:pt>
                <c:pt idx="601">
                  <c:v>295.11</c:v>
                </c:pt>
                <c:pt idx="602">
                  <c:v>295.31</c:v>
                </c:pt>
              </c:numCache>
            </c:numRef>
          </c:xVal>
          <c:yVal>
            <c:numRef>
              <c:f>Data!$U$2:$U$604</c:f>
              <c:numCache>
                <c:formatCode>General</c:formatCode>
                <c:ptCount val="603"/>
                <c:pt idx="0">
                  <c:v>1.3449751805</c:v>
                </c:pt>
                <c:pt idx="1">
                  <c:v>1.3391184275</c:v>
                </c:pt>
                <c:pt idx="2">
                  <c:v>1.345501794</c:v>
                </c:pt>
                <c:pt idx="3">
                  <c:v>1.3505684395</c:v>
                </c:pt>
                <c:pt idx="4">
                  <c:v>1.3324711925</c:v>
                </c:pt>
                <c:pt idx="5">
                  <c:v>1.35064317</c:v>
                </c:pt>
                <c:pt idx="6">
                  <c:v>1.763232468</c:v>
                </c:pt>
                <c:pt idx="7">
                  <c:v>1.35375797</c:v>
                </c:pt>
                <c:pt idx="8">
                  <c:v>1.33051078</c:v>
                </c:pt>
                <c:pt idx="9">
                  <c:v>1.36104181</c:v>
                </c:pt>
                <c:pt idx="10">
                  <c:v>1.34853469</c:v>
                </c:pt>
                <c:pt idx="11">
                  <c:v>1.350411048</c:v>
                </c:pt>
                <c:pt idx="12">
                  <c:v>1.35777127</c:v>
                </c:pt>
                <c:pt idx="13">
                  <c:v>1.39859312</c:v>
                </c:pt>
                <c:pt idx="14">
                  <c:v>1.342671184</c:v>
                </c:pt>
                <c:pt idx="15">
                  <c:v>1.3614904855</c:v>
                </c:pt>
                <c:pt idx="16">
                  <c:v>1.3471044345</c:v>
                </c:pt>
                <c:pt idx="17">
                  <c:v>1.3414309435</c:v>
                </c:pt>
                <c:pt idx="18">
                  <c:v>1.354390558</c:v>
                </c:pt>
                <c:pt idx="19">
                  <c:v>1.3495074855</c:v>
                </c:pt>
                <c:pt idx="20">
                  <c:v>1.35431504</c:v>
                </c:pt>
                <c:pt idx="21">
                  <c:v>1.348907056</c:v>
                </c:pt>
                <c:pt idx="22">
                  <c:v>1.3517243405</c:v>
                </c:pt>
                <c:pt idx="23">
                  <c:v>2.4024155405</c:v>
                </c:pt>
                <c:pt idx="24">
                  <c:v>2.553648636</c:v>
                </c:pt>
                <c:pt idx="25">
                  <c:v>2.600459037</c:v>
                </c:pt>
                <c:pt idx="26">
                  <c:v>2.755377932</c:v>
                </c:pt>
                <c:pt idx="27">
                  <c:v>1.405667754</c:v>
                </c:pt>
                <c:pt idx="28">
                  <c:v>1.34631839</c:v>
                </c:pt>
                <c:pt idx="29">
                  <c:v>1.349698</c:v>
                </c:pt>
                <c:pt idx="30">
                  <c:v>1.34853469</c:v>
                </c:pt>
                <c:pt idx="31">
                  <c:v>1.343124776</c:v>
                </c:pt>
                <c:pt idx="32">
                  <c:v>1.34001092</c:v>
                </c:pt>
                <c:pt idx="33">
                  <c:v>1.345341816</c:v>
                </c:pt>
                <c:pt idx="34">
                  <c:v>2.585778115</c:v>
                </c:pt>
                <c:pt idx="35">
                  <c:v>7.3992317645</c:v>
                </c:pt>
                <c:pt idx="36">
                  <c:v>6.679496031</c:v>
                </c:pt>
                <c:pt idx="37">
                  <c:v>4.868026079</c:v>
                </c:pt>
                <c:pt idx="38">
                  <c:v>3.616143975</c:v>
                </c:pt>
                <c:pt idx="39">
                  <c:v>6.08903001</c:v>
                </c:pt>
                <c:pt idx="40">
                  <c:v>6.0336344495</c:v>
                </c:pt>
                <c:pt idx="41">
                  <c:v>6.232109686</c:v>
                </c:pt>
                <c:pt idx="42">
                  <c:v>5.644240611</c:v>
                </c:pt>
                <c:pt idx="43">
                  <c:v>5.095613783</c:v>
                </c:pt>
                <c:pt idx="44">
                  <c:v>5.10893802</c:v>
                </c:pt>
                <c:pt idx="45">
                  <c:v>4.150799564</c:v>
                </c:pt>
                <c:pt idx="46">
                  <c:v>6.89261456</c:v>
                </c:pt>
                <c:pt idx="47">
                  <c:v>6.5928804895</c:v>
                </c:pt>
                <c:pt idx="48">
                  <c:v>6.2423332015</c:v>
                </c:pt>
                <c:pt idx="49">
                  <c:v>5.750581188</c:v>
                </c:pt>
                <c:pt idx="50">
                  <c:v>6.550495022</c:v>
                </c:pt>
                <c:pt idx="51">
                  <c:v>5.420582736</c:v>
                </c:pt>
                <c:pt idx="52">
                  <c:v>3.03153345</c:v>
                </c:pt>
                <c:pt idx="53">
                  <c:v>2.8428658935</c:v>
                </c:pt>
                <c:pt idx="54">
                  <c:v>2.625030744</c:v>
                </c:pt>
                <c:pt idx="55">
                  <c:v>2.2893315765</c:v>
                </c:pt>
                <c:pt idx="56">
                  <c:v>2.1308786895</c:v>
                </c:pt>
                <c:pt idx="57">
                  <c:v>2.179284324</c:v>
                </c:pt>
                <c:pt idx="58">
                  <c:v>2.18733458</c:v>
                </c:pt>
                <c:pt idx="59">
                  <c:v>2.1742172595</c:v>
                </c:pt>
                <c:pt idx="60">
                  <c:v>2.17537248</c:v>
                </c:pt>
                <c:pt idx="61">
                  <c:v>2.17537248</c:v>
                </c:pt>
                <c:pt idx="62">
                  <c:v>2.913933375</c:v>
                </c:pt>
                <c:pt idx="63">
                  <c:v>8.497402694</c:v>
                </c:pt>
                <c:pt idx="64">
                  <c:v>10.838667645</c:v>
                </c:pt>
                <c:pt idx="65">
                  <c:v>8.004658584</c:v>
                </c:pt>
                <c:pt idx="66">
                  <c:v>6.165335223</c:v>
                </c:pt>
                <c:pt idx="67">
                  <c:v>5.3464787165</c:v>
                </c:pt>
                <c:pt idx="68">
                  <c:v>6.0359694945</c:v>
                </c:pt>
                <c:pt idx="69">
                  <c:v>5.8409412525</c:v>
                </c:pt>
                <c:pt idx="70">
                  <c:v>6.370910821</c:v>
                </c:pt>
                <c:pt idx="71">
                  <c:v>2.42594369</c:v>
                </c:pt>
                <c:pt idx="72">
                  <c:v>2.354353401</c:v>
                </c:pt>
                <c:pt idx="73">
                  <c:v>1.384092164</c:v>
                </c:pt>
                <c:pt idx="74">
                  <c:v>1.343116498</c:v>
                </c:pt>
                <c:pt idx="75">
                  <c:v>1.320009066</c:v>
                </c:pt>
                <c:pt idx="76">
                  <c:v>1.371444192</c:v>
                </c:pt>
                <c:pt idx="77">
                  <c:v>3.05657137</c:v>
                </c:pt>
                <c:pt idx="78">
                  <c:v>11.603322237</c:v>
                </c:pt>
                <c:pt idx="79">
                  <c:v>11.814610353</c:v>
                </c:pt>
                <c:pt idx="80">
                  <c:v>7.492296105</c:v>
                </c:pt>
                <c:pt idx="81">
                  <c:v>6.0469202505</c:v>
                </c:pt>
                <c:pt idx="82">
                  <c:v>6.1625474175</c:v>
                </c:pt>
                <c:pt idx="83">
                  <c:v>5.01773872</c:v>
                </c:pt>
                <c:pt idx="84">
                  <c:v>5.8787665255</c:v>
                </c:pt>
                <c:pt idx="85">
                  <c:v>5.711694952</c:v>
                </c:pt>
                <c:pt idx="86">
                  <c:v>5.966794944</c:v>
                </c:pt>
                <c:pt idx="87">
                  <c:v>6.293446355</c:v>
                </c:pt>
                <c:pt idx="88">
                  <c:v>10.031892595</c:v>
                </c:pt>
                <c:pt idx="89">
                  <c:v>2.219393664</c:v>
                </c:pt>
                <c:pt idx="90">
                  <c:v>1.599980234</c:v>
                </c:pt>
                <c:pt idx="91">
                  <c:v>1.3113251475</c:v>
                </c:pt>
                <c:pt idx="92">
                  <c:v>1.318917956</c:v>
                </c:pt>
                <c:pt idx="93">
                  <c:v>1.316899015</c:v>
                </c:pt>
                <c:pt idx="94">
                  <c:v>1.368627366</c:v>
                </c:pt>
                <c:pt idx="95">
                  <c:v>1.315741805</c:v>
                </c:pt>
                <c:pt idx="96">
                  <c:v>2.71778053</c:v>
                </c:pt>
                <c:pt idx="97">
                  <c:v>2.97711612</c:v>
                </c:pt>
                <c:pt idx="98">
                  <c:v>7.710872082</c:v>
                </c:pt>
                <c:pt idx="99">
                  <c:v>6.49798665</c:v>
                </c:pt>
                <c:pt idx="100">
                  <c:v>6.601508748</c:v>
                </c:pt>
                <c:pt idx="101">
                  <c:v>8.3922425565</c:v>
                </c:pt>
                <c:pt idx="102">
                  <c:v>7.435729605</c:v>
                </c:pt>
                <c:pt idx="103">
                  <c:v>7.0404201675</c:v>
                </c:pt>
                <c:pt idx="104">
                  <c:v>2.452472561</c:v>
                </c:pt>
                <c:pt idx="105">
                  <c:v>2.595654948</c:v>
                </c:pt>
                <c:pt idx="106">
                  <c:v>2.819529205</c:v>
                </c:pt>
                <c:pt idx="107">
                  <c:v>2.419114296</c:v>
                </c:pt>
                <c:pt idx="108">
                  <c:v>3.557711068</c:v>
                </c:pt>
                <c:pt idx="109">
                  <c:v>3.3364573245</c:v>
                </c:pt>
                <c:pt idx="110">
                  <c:v>3.4200766485</c:v>
                </c:pt>
                <c:pt idx="111">
                  <c:v>3.2916917835</c:v>
                </c:pt>
                <c:pt idx="112">
                  <c:v>3.483703436</c:v>
                </c:pt>
                <c:pt idx="113">
                  <c:v>5.2385525745</c:v>
                </c:pt>
                <c:pt idx="114">
                  <c:v>4.777911504</c:v>
                </c:pt>
                <c:pt idx="115">
                  <c:v>4.614110732</c:v>
                </c:pt>
                <c:pt idx="116">
                  <c:v>8.154527227</c:v>
                </c:pt>
                <c:pt idx="117">
                  <c:v>7.5077628505</c:v>
                </c:pt>
                <c:pt idx="118">
                  <c:v>6.58558063</c:v>
                </c:pt>
                <c:pt idx="119">
                  <c:v>7.077550077</c:v>
                </c:pt>
                <c:pt idx="120">
                  <c:v>7.227452532</c:v>
                </c:pt>
                <c:pt idx="121">
                  <c:v>6.8018213175</c:v>
                </c:pt>
                <c:pt idx="122">
                  <c:v>7.199853132</c:v>
                </c:pt>
                <c:pt idx="123">
                  <c:v>6.413019746</c:v>
                </c:pt>
                <c:pt idx="124">
                  <c:v>2.682433845</c:v>
                </c:pt>
                <c:pt idx="125">
                  <c:v>2.83918527</c:v>
                </c:pt>
                <c:pt idx="126">
                  <c:v>8.09133054</c:v>
                </c:pt>
                <c:pt idx="127">
                  <c:v>5.989549786</c:v>
                </c:pt>
                <c:pt idx="128">
                  <c:v>9.6546838835</c:v>
                </c:pt>
                <c:pt idx="129">
                  <c:v>6.712431</c:v>
                </c:pt>
                <c:pt idx="130">
                  <c:v>5.6095884375</c:v>
                </c:pt>
                <c:pt idx="131">
                  <c:v>6.300914697</c:v>
                </c:pt>
                <c:pt idx="132">
                  <c:v>2.03733984</c:v>
                </c:pt>
                <c:pt idx="133">
                  <c:v>1.34408628</c:v>
                </c:pt>
                <c:pt idx="134">
                  <c:v>1.328913734</c:v>
                </c:pt>
                <c:pt idx="135">
                  <c:v>1.322444325</c:v>
                </c:pt>
                <c:pt idx="136">
                  <c:v>1.318294077</c:v>
                </c:pt>
                <c:pt idx="137">
                  <c:v>1.746010836</c:v>
                </c:pt>
                <c:pt idx="138">
                  <c:v>1.309993581</c:v>
                </c:pt>
                <c:pt idx="139">
                  <c:v>1.31847893</c:v>
                </c:pt>
                <c:pt idx="140">
                  <c:v>1.317429442</c:v>
                </c:pt>
                <c:pt idx="141">
                  <c:v>1.3079611695</c:v>
                </c:pt>
                <c:pt idx="142">
                  <c:v>1.3212277265</c:v>
                </c:pt>
                <c:pt idx="143">
                  <c:v>1.3175282275</c:v>
                </c:pt>
                <c:pt idx="144">
                  <c:v>1.314161436</c:v>
                </c:pt>
                <c:pt idx="145">
                  <c:v>1.315759538</c:v>
                </c:pt>
                <c:pt idx="146">
                  <c:v>1.371726896</c:v>
                </c:pt>
                <c:pt idx="147">
                  <c:v>1.296558725</c:v>
                </c:pt>
                <c:pt idx="148">
                  <c:v>1.312121965</c:v>
                </c:pt>
                <c:pt idx="149">
                  <c:v>1.3110633765</c:v>
                </c:pt>
                <c:pt idx="150">
                  <c:v>1.3246857755</c:v>
                </c:pt>
                <c:pt idx="151">
                  <c:v>1.3278701975</c:v>
                </c:pt>
                <c:pt idx="152">
                  <c:v>1.3159351975</c:v>
                </c:pt>
                <c:pt idx="153">
                  <c:v>1.311334255</c:v>
                </c:pt>
                <c:pt idx="154">
                  <c:v>1.3232650345</c:v>
                </c:pt>
                <c:pt idx="155">
                  <c:v>1.316537915</c:v>
                </c:pt>
                <c:pt idx="156">
                  <c:v>1.311869706</c:v>
                </c:pt>
                <c:pt idx="157">
                  <c:v>1.3050524</c:v>
                </c:pt>
                <c:pt idx="158">
                  <c:v>1.321671844</c:v>
                </c:pt>
                <c:pt idx="159">
                  <c:v>1.539829588</c:v>
                </c:pt>
                <c:pt idx="160">
                  <c:v>1.32096189</c:v>
                </c:pt>
                <c:pt idx="161">
                  <c:v>1.314595232</c:v>
                </c:pt>
                <c:pt idx="162">
                  <c:v>1.310441504</c:v>
                </c:pt>
                <c:pt idx="163">
                  <c:v>1.307523152</c:v>
                </c:pt>
                <c:pt idx="164">
                  <c:v>1.308233344</c:v>
                </c:pt>
                <c:pt idx="165">
                  <c:v>1.35201396</c:v>
                </c:pt>
                <c:pt idx="166">
                  <c:v>1.3224770605</c:v>
                </c:pt>
                <c:pt idx="167">
                  <c:v>1.330625408</c:v>
                </c:pt>
                <c:pt idx="168">
                  <c:v>1.324881222</c:v>
                </c:pt>
                <c:pt idx="169">
                  <c:v>1.3273582625</c:v>
                </c:pt>
                <c:pt idx="170">
                  <c:v>1.326214421</c:v>
                </c:pt>
                <c:pt idx="171">
                  <c:v>1.34400455</c:v>
                </c:pt>
                <c:pt idx="172">
                  <c:v>1.3305586095</c:v>
                </c:pt>
                <c:pt idx="173">
                  <c:v>1.333576167</c:v>
                </c:pt>
                <c:pt idx="174">
                  <c:v>1.351040682</c:v>
                </c:pt>
                <c:pt idx="175">
                  <c:v>1.342976946</c:v>
                </c:pt>
                <c:pt idx="176">
                  <c:v>1.3370544045</c:v>
                </c:pt>
                <c:pt idx="177">
                  <c:v>1.339344936</c:v>
                </c:pt>
                <c:pt idx="178">
                  <c:v>1.324891705</c:v>
                </c:pt>
                <c:pt idx="179">
                  <c:v>1.3222466865</c:v>
                </c:pt>
                <c:pt idx="180">
                  <c:v>1.331140375</c:v>
                </c:pt>
                <c:pt idx="181">
                  <c:v>1.358422038</c:v>
                </c:pt>
                <c:pt idx="182">
                  <c:v>1.3387588285</c:v>
                </c:pt>
                <c:pt idx="183">
                  <c:v>1.332901395</c:v>
                </c:pt>
                <c:pt idx="184">
                  <c:v>1.353576882</c:v>
                </c:pt>
                <c:pt idx="185">
                  <c:v>1.34584695</c:v>
                </c:pt>
                <c:pt idx="186">
                  <c:v>1.336013595</c:v>
                </c:pt>
                <c:pt idx="187">
                  <c:v>1.36535805</c:v>
                </c:pt>
                <c:pt idx="188">
                  <c:v>1.3504056445</c:v>
                </c:pt>
                <c:pt idx="189">
                  <c:v>1.331910246</c:v>
                </c:pt>
                <c:pt idx="190">
                  <c:v>1.34856176</c:v>
                </c:pt>
                <c:pt idx="191">
                  <c:v>1.332882144</c:v>
                </c:pt>
                <c:pt idx="192">
                  <c:v>1.330301088</c:v>
                </c:pt>
                <c:pt idx="193">
                  <c:v>1.330756938</c:v>
                </c:pt>
                <c:pt idx="194">
                  <c:v>1.2952148265</c:v>
                </c:pt>
                <c:pt idx="195">
                  <c:v>1.30861775</c:v>
                </c:pt>
                <c:pt idx="196">
                  <c:v>1.330749738</c:v>
                </c:pt>
                <c:pt idx="197">
                  <c:v>1.337048784</c:v>
                </c:pt>
                <c:pt idx="198">
                  <c:v>1.33625712</c:v>
                </c:pt>
                <c:pt idx="199">
                  <c:v>1.34068584</c:v>
                </c:pt>
                <c:pt idx="200">
                  <c:v>1.340422632</c:v>
                </c:pt>
                <c:pt idx="201">
                  <c:v>1.342372764</c:v>
                </c:pt>
                <c:pt idx="202">
                  <c:v>1.557724764</c:v>
                </c:pt>
                <c:pt idx="203">
                  <c:v>1.347698528</c:v>
                </c:pt>
                <c:pt idx="204">
                  <c:v>1.338656704</c:v>
                </c:pt>
                <c:pt idx="205">
                  <c:v>1.337681312</c:v>
                </c:pt>
                <c:pt idx="206">
                  <c:v>1.34600982</c:v>
                </c:pt>
                <c:pt idx="207">
                  <c:v>1.764364448</c:v>
                </c:pt>
                <c:pt idx="208">
                  <c:v>1.331565664</c:v>
                </c:pt>
                <c:pt idx="209">
                  <c:v>1.354149819</c:v>
                </c:pt>
                <c:pt idx="210">
                  <c:v>1.324474624</c:v>
                </c:pt>
                <c:pt idx="211">
                  <c:v>1.338018303</c:v>
                </c:pt>
                <c:pt idx="212">
                  <c:v>1.343420974</c:v>
                </c:pt>
                <c:pt idx="213">
                  <c:v>1.336891424</c:v>
                </c:pt>
                <c:pt idx="214">
                  <c:v>1.80224481</c:v>
                </c:pt>
                <c:pt idx="215">
                  <c:v>1.3304013075</c:v>
                </c:pt>
                <c:pt idx="216">
                  <c:v>1.3343025495</c:v>
                </c:pt>
                <c:pt idx="217">
                  <c:v>1.3506220895</c:v>
                </c:pt>
                <c:pt idx="218">
                  <c:v>1.341129723</c:v>
                </c:pt>
                <c:pt idx="219">
                  <c:v>1.3242861705</c:v>
                </c:pt>
                <c:pt idx="220">
                  <c:v>1.343529272</c:v>
                </c:pt>
                <c:pt idx="221">
                  <c:v>1.3445049085</c:v>
                </c:pt>
                <c:pt idx="222">
                  <c:v>1.33527786</c:v>
                </c:pt>
                <c:pt idx="223">
                  <c:v>6.325978944</c:v>
                </c:pt>
                <c:pt idx="224">
                  <c:v>5.059734172</c:v>
                </c:pt>
                <c:pt idx="225">
                  <c:v>5.01205491</c:v>
                </c:pt>
                <c:pt idx="226">
                  <c:v>10.74244084</c:v>
                </c:pt>
                <c:pt idx="227">
                  <c:v>6.82246978</c:v>
                </c:pt>
                <c:pt idx="228">
                  <c:v>5.9653666575</c:v>
                </c:pt>
                <c:pt idx="229">
                  <c:v>6.045347424</c:v>
                </c:pt>
                <c:pt idx="230">
                  <c:v>5.960663225</c:v>
                </c:pt>
                <c:pt idx="231">
                  <c:v>5.88722286</c:v>
                </c:pt>
                <c:pt idx="232">
                  <c:v>5.923259433</c:v>
                </c:pt>
                <c:pt idx="233">
                  <c:v>5.735219031</c:v>
                </c:pt>
                <c:pt idx="234">
                  <c:v>6.17598045</c:v>
                </c:pt>
                <c:pt idx="235">
                  <c:v>2.986277867</c:v>
                </c:pt>
                <c:pt idx="236">
                  <c:v>2.6729771415</c:v>
                </c:pt>
                <c:pt idx="237">
                  <c:v>2.39383243</c:v>
                </c:pt>
                <c:pt idx="238">
                  <c:v>2.192751895</c:v>
                </c:pt>
                <c:pt idx="239">
                  <c:v>1.30833129</c:v>
                </c:pt>
                <c:pt idx="240">
                  <c:v>1.32860697</c:v>
                </c:pt>
                <c:pt idx="241">
                  <c:v>1.379266776</c:v>
                </c:pt>
                <c:pt idx="242">
                  <c:v>2.539089553</c:v>
                </c:pt>
                <c:pt idx="243">
                  <c:v>14.5121592</c:v>
                </c:pt>
                <c:pt idx="244">
                  <c:v>8.026298445</c:v>
                </c:pt>
                <c:pt idx="245">
                  <c:v>6.9511275155</c:v>
                </c:pt>
                <c:pt idx="246">
                  <c:v>5.508827168</c:v>
                </c:pt>
                <c:pt idx="247">
                  <c:v>6.12034209</c:v>
                </c:pt>
                <c:pt idx="248">
                  <c:v>6.319128996</c:v>
                </c:pt>
                <c:pt idx="249">
                  <c:v>5.574433098</c:v>
                </c:pt>
                <c:pt idx="250">
                  <c:v>2.2070308785</c:v>
                </c:pt>
                <c:pt idx="251">
                  <c:v>1.412502273</c:v>
                </c:pt>
                <c:pt idx="252">
                  <c:v>1.30902989</c:v>
                </c:pt>
                <c:pt idx="253">
                  <c:v>1.323956822</c:v>
                </c:pt>
                <c:pt idx="254">
                  <c:v>1.341126004</c:v>
                </c:pt>
                <c:pt idx="255">
                  <c:v>15.058920705</c:v>
                </c:pt>
                <c:pt idx="256">
                  <c:v>9.207110932</c:v>
                </c:pt>
                <c:pt idx="257">
                  <c:v>7.191163299</c:v>
                </c:pt>
                <c:pt idx="258">
                  <c:v>5.853325827</c:v>
                </c:pt>
                <c:pt idx="259">
                  <c:v>5.642108122</c:v>
                </c:pt>
                <c:pt idx="260">
                  <c:v>5.91353607</c:v>
                </c:pt>
                <c:pt idx="261">
                  <c:v>5.848782822</c:v>
                </c:pt>
                <c:pt idx="262">
                  <c:v>2.306072127</c:v>
                </c:pt>
                <c:pt idx="263">
                  <c:v>2.1088173195</c:v>
                </c:pt>
                <c:pt idx="264">
                  <c:v>1.3298452835</c:v>
                </c:pt>
                <c:pt idx="265">
                  <c:v>1.3048679165</c:v>
                </c:pt>
                <c:pt idx="266">
                  <c:v>1.302261059</c:v>
                </c:pt>
                <c:pt idx="267">
                  <c:v>1.3157140765</c:v>
                </c:pt>
                <c:pt idx="268">
                  <c:v>1.319953198</c:v>
                </c:pt>
                <c:pt idx="269">
                  <c:v>1.312187226</c:v>
                </c:pt>
                <c:pt idx="270">
                  <c:v>8.013623541</c:v>
                </c:pt>
                <c:pt idx="271">
                  <c:v>10.871455056</c:v>
                </c:pt>
                <c:pt idx="272">
                  <c:v>7.704378864</c:v>
                </c:pt>
                <c:pt idx="273">
                  <c:v>5.893140224</c:v>
                </c:pt>
                <c:pt idx="274">
                  <c:v>6.157598832</c:v>
                </c:pt>
                <c:pt idx="275">
                  <c:v>5.9678227755</c:v>
                </c:pt>
                <c:pt idx="276">
                  <c:v>5.768798553</c:v>
                </c:pt>
                <c:pt idx="277">
                  <c:v>1.839802725</c:v>
                </c:pt>
                <c:pt idx="278">
                  <c:v>1.314714387</c:v>
                </c:pt>
                <c:pt idx="279">
                  <c:v>1.30744047</c:v>
                </c:pt>
                <c:pt idx="280">
                  <c:v>1.3018395675</c:v>
                </c:pt>
                <c:pt idx="281">
                  <c:v>1.29320483</c:v>
                </c:pt>
                <c:pt idx="282">
                  <c:v>1.3004872615</c:v>
                </c:pt>
                <c:pt idx="283">
                  <c:v>1.288976112</c:v>
                </c:pt>
                <c:pt idx="284">
                  <c:v>1.292838508</c:v>
                </c:pt>
                <c:pt idx="285">
                  <c:v>1.309610838</c:v>
                </c:pt>
                <c:pt idx="286">
                  <c:v>1.30274682</c:v>
                </c:pt>
                <c:pt idx="287">
                  <c:v>1.291689834</c:v>
                </c:pt>
                <c:pt idx="288">
                  <c:v>1.306954566</c:v>
                </c:pt>
                <c:pt idx="289">
                  <c:v>1.732796318</c:v>
                </c:pt>
                <c:pt idx="290">
                  <c:v>1.297924647</c:v>
                </c:pt>
                <c:pt idx="291">
                  <c:v>1.285740516</c:v>
                </c:pt>
                <c:pt idx="292">
                  <c:v>1.29477906</c:v>
                </c:pt>
                <c:pt idx="293">
                  <c:v>1.288629395</c:v>
                </c:pt>
                <c:pt idx="294">
                  <c:v>1.2817027535</c:v>
                </c:pt>
                <c:pt idx="295">
                  <c:v>1.316261984</c:v>
                </c:pt>
                <c:pt idx="296">
                  <c:v>1.299960025</c:v>
                </c:pt>
                <c:pt idx="297">
                  <c:v>1.3087486705</c:v>
                </c:pt>
                <c:pt idx="298">
                  <c:v>1.3031193825</c:v>
                </c:pt>
                <c:pt idx="299">
                  <c:v>1.293209712</c:v>
                </c:pt>
                <c:pt idx="300">
                  <c:v>0.962715047</c:v>
                </c:pt>
                <c:pt idx="301">
                  <c:v>1.318906527</c:v>
                </c:pt>
                <c:pt idx="302">
                  <c:v>1.313204342</c:v>
                </c:pt>
                <c:pt idx="303">
                  <c:v>1.313390845</c:v>
                </c:pt>
                <c:pt idx="304">
                  <c:v>1.32328</c:v>
                </c:pt>
                <c:pt idx="305">
                  <c:v>1.328798193</c:v>
                </c:pt>
                <c:pt idx="306">
                  <c:v>1.310421203</c:v>
                </c:pt>
                <c:pt idx="307">
                  <c:v>1.320572865</c:v>
                </c:pt>
                <c:pt idx="308">
                  <c:v>1.314090692</c:v>
                </c:pt>
                <c:pt idx="309">
                  <c:v>1.303940715</c:v>
                </c:pt>
                <c:pt idx="310">
                  <c:v>1.7002657245</c:v>
                </c:pt>
                <c:pt idx="311">
                  <c:v>1.3210144815</c:v>
                </c:pt>
                <c:pt idx="312">
                  <c:v>1.300602654</c:v>
                </c:pt>
                <c:pt idx="313">
                  <c:v>1.308494869</c:v>
                </c:pt>
                <c:pt idx="314">
                  <c:v>1.317240189</c:v>
                </c:pt>
                <c:pt idx="315">
                  <c:v>1.30735338</c:v>
                </c:pt>
                <c:pt idx="316">
                  <c:v>1.322832</c:v>
                </c:pt>
                <c:pt idx="317">
                  <c:v>1.323728</c:v>
                </c:pt>
                <c:pt idx="318">
                  <c:v>1.311021</c:v>
                </c:pt>
                <c:pt idx="319">
                  <c:v>1.322832</c:v>
                </c:pt>
                <c:pt idx="320">
                  <c:v>1.318536912</c:v>
                </c:pt>
                <c:pt idx="321">
                  <c:v>1.322831301</c:v>
                </c:pt>
                <c:pt idx="322">
                  <c:v>1.330274121</c:v>
                </c:pt>
                <c:pt idx="323">
                  <c:v>1.319163054</c:v>
                </c:pt>
                <c:pt idx="324">
                  <c:v>1.314088941</c:v>
                </c:pt>
                <c:pt idx="325">
                  <c:v>1.317940305</c:v>
                </c:pt>
                <c:pt idx="326">
                  <c:v>1.310237577</c:v>
                </c:pt>
                <c:pt idx="327">
                  <c:v>1.312163259</c:v>
                </c:pt>
                <c:pt idx="328">
                  <c:v>1.323462366</c:v>
                </c:pt>
                <c:pt idx="329">
                  <c:v>1.320125895</c:v>
                </c:pt>
                <c:pt idx="330">
                  <c:v>1.333865577</c:v>
                </c:pt>
                <c:pt idx="331">
                  <c:v>1.344704639</c:v>
                </c:pt>
                <c:pt idx="332">
                  <c:v>1.331679987</c:v>
                </c:pt>
                <c:pt idx="333">
                  <c:v>1.317423368</c:v>
                </c:pt>
                <c:pt idx="334">
                  <c:v>1.75868079</c:v>
                </c:pt>
                <c:pt idx="335">
                  <c:v>1.317680397</c:v>
                </c:pt>
                <c:pt idx="336">
                  <c:v>1.316200205</c:v>
                </c:pt>
                <c:pt idx="337">
                  <c:v>1.316717556</c:v>
                </c:pt>
                <c:pt idx="338">
                  <c:v>1.322942374</c:v>
                </c:pt>
                <c:pt idx="339">
                  <c:v>1.31138437</c:v>
                </c:pt>
                <c:pt idx="340">
                  <c:v>1.314088941</c:v>
                </c:pt>
                <c:pt idx="341">
                  <c:v>1.316014623</c:v>
                </c:pt>
                <c:pt idx="342">
                  <c:v>1.314273871</c:v>
                </c:pt>
                <c:pt idx="343">
                  <c:v>1.324680192</c:v>
                </c:pt>
                <c:pt idx="344">
                  <c:v>1.325643033</c:v>
                </c:pt>
                <c:pt idx="345">
                  <c:v>1.309977669</c:v>
                </c:pt>
                <c:pt idx="346">
                  <c:v>1.333605669</c:v>
                </c:pt>
                <c:pt idx="347">
                  <c:v>1.327828623</c:v>
                </c:pt>
                <c:pt idx="348">
                  <c:v>1.325902941</c:v>
                </c:pt>
                <c:pt idx="349">
                  <c:v>1.3249401</c:v>
                </c:pt>
                <c:pt idx="350">
                  <c:v>1.317940305</c:v>
                </c:pt>
                <c:pt idx="351">
                  <c:v>1.317940305</c:v>
                </c:pt>
                <c:pt idx="352">
                  <c:v>1.321791669</c:v>
                </c:pt>
                <c:pt idx="353">
                  <c:v>1.363010715</c:v>
                </c:pt>
                <c:pt idx="354">
                  <c:v>1.317680397</c:v>
                </c:pt>
                <c:pt idx="355">
                  <c:v>1.325643033</c:v>
                </c:pt>
                <c:pt idx="356">
                  <c:v>1.412192397</c:v>
                </c:pt>
                <c:pt idx="357">
                  <c:v>1.3233454185</c:v>
                </c:pt>
                <c:pt idx="358">
                  <c:v>1.340085648</c:v>
                </c:pt>
                <c:pt idx="359">
                  <c:v>1.31838333</c:v>
                </c:pt>
                <c:pt idx="360">
                  <c:v>1.313569125</c:v>
                </c:pt>
                <c:pt idx="361">
                  <c:v>1.316457648</c:v>
                </c:pt>
                <c:pt idx="362">
                  <c:v>1.301755125</c:v>
                </c:pt>
                <c:pt idx="363">
                  <c:v>1.422783648</c:v>
                </c:pt>
                <c:pt idx="364">
                  <c:v>1.324420284</c:v>
                </c:pt>
                <c:pt idx="365">
                  <c:v>1.314531966</c:v>
                </c:pt>
                <c:pt idx="366">
                  <c:v>1.310680602</c:v>
                </c:pt>
                <c:pt idx="367">
                  <c:v>1.30875492</c:v>
                </c:pt>
                <c:pt idx="368">
                  <c:v>1.321531761</c:v>
                </c:pt>
                <c:pt idx="369">
                  <c:v>1.319159285</c:v>
                </c:pt>
                <c:pt idx="370">
                  <c:v>1.374067042</c:v>
                </c:pt>
                <c:pt idx="371">
                  <c:v>1.325383125</c:v>
                </c:pt>
                <c:pt idx="372">
                  <c:v>1.317866543</c:v>
                </c:pt>
                <c:pt idx="373">
                  <c:v>1.360825125</c:v>
                </c:pt>
                <c:pt idx="374">
                  <c:v>1.776451488</c:v>
                </c:pt>
                <c:pt idx="375">
                  <c:v>1.314531966</c:v>
                </c:pt>
                <c:pt idx="376">
                  <c:v>1.333345761</c:v>
                </c:pt>
                <c:pt idx="377">
                  <c:v>1.325383125</c:v>
                </c:pt>
                <c:pt idx="378">
                  <c:v>1.324420284</c:v>
                </c:pt>
                <c:pt idx="379">
                  <c:v>1.33578186</c:v>
                </c:pt>
                <c:pt idx="380">
                  <c:v>1.32204683</c:v>
                </c:pt>
                <c:pt idx="381">
                  <c:v>1.333743887</c:v>
                </c:pt>
                <c:pt idx="382">
                  <c:v>1.32204683</c:v>
                </c:pt>
                <c:pt idx="383">
                  <c:v>1.318643238</c:v>
                </c:pt>
                <c:pt idx="384">
                  <c:v>1.321531761</c:v>
                </c:pt>
                <c:pt idx="385">
                  <c:v>1.317680397</c:v>
                </c:pt>
                <c:pt idx="386">
                  <c:v>1.316717556</c:v>
                </c:pt>
                <c:pt idx="387">
                  <c:v>1.319606079</c:v>
                </c:pt>
                <c:pt idx="388">
                  <c:v>1.319159285</c:v>
                </c:pt>
                <c:pt idx="389">
                  <c:v>1.32204683</c:v>
                </c:pt>
                <c:pt idx="390">
                  <c:v>1.319159285</c:v>
                </c:pt>
                <c:pt idx="391">
                  <c:v>1.324934375</c:v>
                </c:pt>
                <c:pt idx="392">
                  <c:v>1.318643238</c:v>
                </c:pt>
                <c:pt idx="393">
                  <c:v>1.321084315</c:v>
                </c:pt>
                <c:pt idx="394">
                  <c:v>1.31819677</c:v>
                </c:pt>
                <c:pt idx="395">
                  <c:v>1.319159285</c:v>
                </c:pt>
                <c:pt idx="396">
                  <c:v>1.75131671</c:v>
                </c:pt>
                <c:pt idx="397">
                  <c:v>1.319606079</c:v>
                </c:pt>
                <c:pt idx="398">
                  <c:v>1.321531761</c:v>
                </c:pt>
                <c:pt idx="399">
                  <c:v>1.309717761</c:v>
                </c:pt>
                <c:pt idx="400">
                  <c:v>1.32204683</c:v>
                </c:pt>
                <c:pt idx="401">
                  <c:v>1.319606079</c:v>
                </c:pt>
                <c:pt idx="402">
                  <c:v>1.307792079</c:v>
                </c:pt>
                <c:pt idx="403">
                  <c:v>1.325383125</c:v>
                </c:pt>
                <c:pt idx="404">
                  <c:v>1.317680397</c:v>
                </c:pt>
                <c:pt idx="405">
                  <c:v>1.32397186</c:v>
                </c:pt>
                <c:pt idx="406">
                  <c:v>1.32204683</c:v>
                </c:pt>
                <c:pt idx="407">
                  <c:v>1.312606284</c:v>
                </c:pt>
                <c:pt idx="408">
                  <c:v>1.31601192</c:v>
                </c:pt>
                <c:pt idx="409">
                  <c:v>1.332894315</c:v>
                </c:pt>
                <c:pt idx="410">
                  <c:v>1.3267470545</c:v>
                </c:pt>
                <c:pt idx="411">
                  <c:v>1.3130131875</c:v>
                </c:pt>
                <c:pt idx="412">
                  <c:v>1.3267470545</c:v>
                </c:pt>
                <c:pt idx="413">
                  <c:v>1.312679625</c:v>
                </c:pt>
                <c:pt idx="414">
                  <c:v>1.374099405</c:v>
                </c:pt>
                <c:pt idx="415">
                  <c:v>1.313569125</c:v>
                </c:pt>
                <c:pt idx="416">
                  <c:v>1.316457648</c:v>
                </c:pt>
                <c:pt idx="417">
                  <c:v>1.387876641</c:v>
                </c:pt>
                <c:pt idx="418">
                  <c:v>1.326859405</c:v>
                </c:pt>
                <c:pt idx="419">
                  <c:v>1.706704435</c:v>
                </c:pt>
                <c:pt idx="420">
                  <c:v>1.31216186</c:v>
                </c:pt>
                <c:pt idx="421">
                  <c:v>1.328784435</c:v>
                </c:pt>
                <c:pt idx="422">
                  <c:v>1.6980418</c:v>
                </c:pt>
                <c:pt idx="423">
                  <c:v>1.31023683</c:v>
                </c:pt>
                <c:pt idx="424">
                  <c:v>1.324420284</c:v>
                </c:pt>
                <c:pt idx="425">
                  <c:v>1.31216186</c:v>
                </c:pt>
                <c:pt idx="426">
                  <c:v>1.325383125</c:v>
                </c:pt>
                <c:pt idx="427">
                  <c:v>1.315049405</c:v>
                </c:pt>
                <c:pt idx="428">
                  <c:v>1.313569125</c:v>
                </c:pt>
                <c:pt idx="429">
                  <c:v>1.328784435</c:v>
                </c:pt>
                <c:pt idx="430">
                  <c:v>1.313124375</c:v>
                </c:pt>
                <c:pt idx="431">
                  <c:v>1.316974435</c:v>
                </c:pt>
                <c:pt idx="432">
                  <c:v>1.328784435</c:v>
                </c:pt>
                <c:pt idx="433">
                  <c:v>1.37121186</c:v>
                </c:pt>
                <c:pt idx="434">
                  <c:v>1.313124375</c:v>
                </c:pt>
                <c:pt idx="435">
                  <c:v>1.32974695</c:v>
                </c:pt>
                <c:pt idx="436">
                  <c:v>1.304643648</c:v>
                </c:pt>
                <c:pt idx="437">
                  <c:v>1.317420489</c:v>
                </c:pt>
                <c:pt idx="438">
                  <c:v>1.31601192</c:v>
                </c:pt>
                <c:pt idx="439">
                  <c:v>1.7092509395</c:v>
                </c:pt>
                <c:pt idx="440">
                  <c:v>1.330709465</c:v>
                </c:pt>
                <c:pt idx="441">
                  <c:v>1.32782192</c:v>
                </c:pt>
                <c:pt idx="442">
                  <c:v>3.71872487</c:v>
                </c:pt>
                <c:pt idx="443">
                  <c:v>4.67233059</c:v>
                </c:pt>
                <c:pt idx="444">
                  <c:v>5.2841633735</c:v>
                </c:pt>
                <c:pt idx="445">
                  <c:v>6.3980785055</c:v>
                </c:pt>
                <c:pt idx="446">
                  <c:v>9.968978349</c:v>
                </c:pt>
                <c:pt idx="447">
                  <c:v>6.589401105</c:v>
                </c:pt>
                <c:pt idx="448">
                  <c:v>6.664977515</c:v>
                </c:pt>
                <c:pt idx="449">
                  <c:v>5.704018656</c:v>
                </c:pt>
                <c:pt idx="450">
                  <c:v>6.633217318</c:v>
                </c:pt>
                <c:pt idx="451">
                  <c:v>5.973235583</c:v>
                </c:pt>
                <c:pt idx="452">
                  <c:v>6.3536751</c:v>
                </c:pt>
                <c:pt idx="453">
                  <c:v>6.258651252</c:v>
                </c:pt>
                <c:pt idx="454">
                  <c:v>5.4632318175</c:v>
                </c:pt>
                <c:pt idx="455">
                  <c:v>5.587477872</c:v>
                </c:pt>
                <c:pt idx="456">
                  <c:v>6.006196989</c:v>
                </c:pt>
                <c:pt idx="457">
                  <c:v>6.670532979</c:v>
                </c:pt>
                <c:pt idx="458">
                  <c:v>5.7928691275</c:v>
                </c:pt>
                <c:pt idx="459">
                  <c:v>5.793286112</c:v>
                </c:pt>
                <c:pt idx="460">
                  <c:v>6.211341213</c:v>
                </c:pt>
                <c:pt idx="461">
                  <c:v>5.419114827</c:v>
                </c:pt>
                <c:pt idx="462">
                  <c:v>6.149171385</c:v>
                </c:pt>
                <c:pt idx="463">
                  <c:v>6.1503809955</c:v>
                </c:pt>
                <c:pt idx="464">
                  <c:v>5.743494888</c:v>
                </c:pt>
                <c:pt idx="465">
                  <c:v>4.8504383865</c:v>
                </c:pt>
                <c:pt idx="466">
                  <c:v>5.983299576</c:v>
                </c:pt>
                <c:pt idx="467">
                  <c:v>6.5689871975</c:v>
                </c:pt>
                <c:pt idx="468">
                  <c:v>6.344764088</c:v>
                </c:pt>
                <c:pt idx="469">
                  <c:v>6.496705545</c:v>
                </c:pt>
                <c:pt idx="470">
                  <c:v>6.400471461</c:v>
                </c:pt>
                <c:pt idx="471">
                  <c:v>6.9493452315</c:v>
                </c:pt>
                <c:pt idx="472">
                  <c:v>6.716562642</c:v>
                </c:pt>
                <c:pt idx="473">
                  <c:v>6.619670379</c:v>
                </c:pt>
                <c:pt idx="474">
                  <c:v>6.545107185</c:v>
                </c:pt>
                <c:pt idx="475">
                  <c:v>6.361391715</c:v>
                </c:pt>
                <c:pt idx="476">
                  <c:v>6.286999728</c:v>
                </c:pt>
                <c:pt idx="477">
                  <c:v>6.674980599</c:v>
                </c:pt>
                <c:pt idx="478">
                  <c:v>6.9197856</c:v>
                </c:pt>
                <c:pt idx="479">
                  <c:v>7.09598005</c:v>
                </c:pt>
                <c:pt idx="480">
                  <c:v>6.899114244</c:v>
                </c:pt>
                <c:pt idx="481">
                  <c:v>6.170248959</c:v>
                </c:pt>
                <c:pt idx="482">
                  <c:v>6.2145943875</c:v>
                </c:pt>
                <c:pt idx="483">
                  <c:v>9.776358963</c:v>
                </c:pt>
                <c:pt idx="484">
                  <c:v>7.3835988795</c:v>
                </c:pt>
                <c:pt idx="485">
                  <c:v>4.245900819</c:v>
                </c:pt>
                <c:pt idx="486">
                  <c:v>5.6124477675</c:v>
                </c:pt>
                <c:pt idx="487">
                  <c:v>6.07888845</c:v>
                </c:pt>
                <c:pt idx="488">
                  <c:v>5.559619638</c:v>
                </c:pt>
                <c:pt idx="489">
                  <c:v>7.0313444355</c:v>
                </c:pt>
                <c:pt idx="490">
                  <c:v>8.1570471045</c:v>
                </c:pt>
                <c:pt idx="491">
                  <c:v>6.3953069145</c:v>
                </c:pt>
                <c:pt idx="492">
                  <c:v>5.383654845</c:v>
                </c:pt>
                <c:pt idx="493">
                  <c:v>5.45560965</c:v>
                </c:pt>
                <c:pt idx="494">
                  <c:v>6.6173187555</c:v>
                </c:pt>
                <c:pt idx="495">
                  <c:v>5.719113095</c:v>
                </c:pt>
                <c:pt idx="496">
                  <c:v>5.686444447</c:v>
                </c:pt>
                <c:pt idx="497">
                  <c:v>4.93400999</c:v>
                </c:pt>
                <c:pt idx="498">
                  <c:v>6.313850994</c:v>
                </c:pt>
                <c:pt idx="499">
                  <c:v>5.679269685</c:v>
                </c:pt>
                <c:pt idx="500">
                  <c:v>2.066248976</c:v>
                </c:pt>
                <c:pt idx="501">
                  <c:v>1.314511913</c:v>
                </c:pt>
                <c:pt idx="502">
                  <c:v>1.3067143</c:v>
                </c:pt>
                <c:pt idx="503">
                  <c:v>1.312096905</c:v>
                </c:pt>
                <c:pt idx="504">
                  <c:v>1.306764261</c:v>
                </c:pt>
                <c:pt idx="505">
                  <c:v>8.2131790485</c:v>
                </c:pt>
                <c:pt idx="506">
                  <c:v>11.49815621</c:v>
                </c:pt>
                <c:pt idx="507">
                  <c:v>8.277505575</c:v>
                </c:pt>
                <c:pt idx="508">
                  <c:v>7.788894984</c:v>
                </c:pt>
                <c:pt idx="509">
                  <c:v>6.431855538</c:v>
                </c:pt>
                <c:pt idx="510">
                  <c:v>6.93764952</c:v>
                </c:pt>
                <c:pt idx="511">
                  <c:v>6.434269429</c:v>
                </c:pt>
                <c:pt idx="512">
                  <c:v>5.955516303</c:v>
                </c:pt>
                <c:pt idx="513">
                  <c:v>5.67130808</c:v>
                </c:pt>
                <c:pt idx="514">
                  <c:v>5.6361083975</c:v>
                </c:pt>
                <c:pt idx="515">
                  <c:v>5.398950534</c:v>
                </c:pt>
                <c:pt idx="516">
                  <c:v>5.577798699</c:v>
                </c:pt>
                <c:pt idx="517">
                  <c:v>5.0468402955</c:v>
                </c:pt>
                <c:pt idx="518">
                  <c:v>5.73680556</c:v>
                </c:pt>
                <c:pt idx="519">
                  <c:v>2.293440486</c:v>
                </c:pt>
                <c:pt idx="520">
                  <c:v>1.3092369585</c:v>
                </c:pt>
                <c:pt idx="521">
                  <c:v>1.556846383</c:v>
                </c:pt>
                <c:pt idx="522">
                  <c:v>1.3287256025</c:v>
                </c:pt>
                <c:pt idx="523">
                  <c:v>1.320260477</c:v>
                </c:pt>
                <c:pt idx="524">
                  <c:v>1.3169286025</c:v>
                </c:pt>
                <c:pt idx="525">
                  <c:v>9.2225808285</c:v>
                </c:pt>
                <c:pt idx="526">
                  <c:v>11.020892184</c:v>
                </c:pt>
                <c:pt idx="527">
                  <c:v>6.556866358</c:v>
                </c:pt>
                <c:pt idx="528">
                  <c:v>6.154447844</c:v>
                </c:pt>
                <c:pt idx="529">
                  <c:v>6.252774129</c:v>
                </c:pt>
                <c:pt idx="530">
                  <c:v>7.500773064</c:v>
                </c:pt>
                <c:pt idx="531">
                  <c:v>7.1467879095</c:v>
                </c:pt>
                <c:pt idx="532">
                  <c:v>6.4104971165</c:v>
                </c:pt>
                <c:pt idx="533">
                  <c:v>6.8571390285</c:v>
                </c:pt>
                <c:pt idx="534">
                  <c:v>7.047658574</c:v>
                </c:pt>
                <c:pt idx="535">
                  <c:v>6.2458015725</c:v>
                </c:pt>
                <c:pt idx="536">
                  <c:v>6.17777888</c:v>
                </c:pt>
                <c:pt idx="537">
                  <c:v>6.567186258</c:v>
                </c:pt>
                <c:pt idx="538">
                  <c:v>2.300505611</c:v>
                </c:pt>
                <c:pt idx="539">
                  <c:v>1.315594571</c:v>
                </c:pt>
                <c:pt idx="540">
                  <c:v>1.377431595</c:v>
                </c:pt>
                <c:pt idx="541">
                  <c:v>1.302328862</c:v>
                </c:pt>
                <c:pt idx="542">
                  <c:v>1.30957425</c:v>
                </c:pt>
                <c:pt idx="543">
                  <c:v>3.39722044</c:v>
                </c:pt>
                <c:pt idx="544">
                  <c:v>12.7788757685</c:v>
                </c:pt>
                <c:pt idx="545">
                  <c:v>8.5841539525</c:v>
                </c:pt>
                <c:pt idx="546">
                  <c:v>6.764293575</c:v>
                </c:pt>
                <c:pt idx="547">
                  <c:v>6.501483175</c:v>
                </c:pt>
                <c:pt idx="548">
                  <c:v>5.754288918</c:v>
                </c:pt>
                <c:pt idx="549">
                  <c:v>7.042118886</c:v>
                </c:pt>
                <c:pt idx="550">
                  <c:v>6.60054304</c:v>
                </c:pt>
                <c:pt idx="551">
                  <c:v>6.429813648</c:v>
                </c:pt>
                <c:pt idx="552">
                  <c:v>6.509142899</c:v>
                </c:pt>
                <c:pt idx="553">
                  <c:v>7.257006471</c:v>
                </c:pt>
                <c:pt idx="554">
                  <c:v>6.16338828</c:v>
                </c:pt>
                <c:pt idx="555">
                  <c:v>2.158128432</c:v>
                </c:pt>
                <c:pt idx="556">
                  <c:v>1.309204058</c:v>
                </c:pt>
                <c:pt idx="557">
                  <c:v>1.309648534</c:v>
                </c:pt>
                <c:pt idx="558">
                  <c:v>1.311053895</c:v>
                </c:pt>
                <c:pt idx="559">
                  <c:v>1.320922125</c:v>
                </c:pt>
                <c:pt idx="560">
                  <c:v>1.311569652</c:v>
                </c:pt>
                <c:pt idx="561">
                  <c:v>1.321546653</c:v>
                </c:pt>
                <c:pt idx="562">
                  <c:v>1.30624947</c:v>
                </c:pt>
                <c:pt idx="563">
                  <c:v>1.3624323635</c:v>
                </c:pt>
                <c:pt idx="564">
                  <c:v>1.3043277</c:v>
                </c:pt>
                <c:pt idx="565">
                  <c:v>1.3034773635</c:v>
                </c:pt>
                <c:pt idx="566">
                  <c:v>1.313235045</c:v>
                </c:pt>
                <c:pt idx="567">
                  <c:v>1.3246878885</c:v>
                </c:pt>
                <c:pt idx="568">
                  <c:v>1.334045531</c:v>
                </c:pt>
                <c:pt idx="569">
                  <c:v>1.310463531</c:v>
                </c:pt>
                <c:pt idx="570">
                  <c:v>1.322254531</c:v>
                </c:pt>
                <c:pt idx="571">
                  <c:v>1.3232154975</c:v>
                </c:pt>
                <c:pt idx="572">
                  <c:v>1.3193716315</c:v>
                </c:pt>
                <c:pt idx="573">
                  <c:v>1.3095025645</c:v>
                </c:pt>
                <c:pt idx="574">
                  <c:v>1.3311626315</c:v>
                </c:pt>
                <c:pt idx="575">
                  <c:v>1.318410665</c:v>
                </c:pt>
                <c:pt idx="576">
                  <c:v>1.742886665</c:v>
                </c:pt>
                <c:pt idx="577">
                  <c:v>1.3075806315</c:v>
                </c:pt>
                <c:pt idx="578">
                  <c:v>1.3075806315</c:v>
                </c:pt>
                <c:pt idx="579">
                  <c:v>1.3056586985</c:v>
                </c:pt>
                <c:pt idx="580">
                  <c:v>1.31785159</c:v>
                </c:pt>
                <c:pt idx="581">
                  <c:v>1.319259735</c:v>
                </c:pt>
                <c:pt idx="582">
                  <c:v>1.3198192175</c:v>
                </c:pt>
                <c:pt idx="583">
                  <c:v>1.318410665</c:v>
                </c:pt>
                <c:pt idx="584">
                  <c:v>1.318410665</c:v>
                </c:pt>
                <c:pt idx="585">
                  <c:v>1.3075806315</c:v>
                </c:pt>
                <c:pt idx="586">
                  <c:v>1.306176405</c:v>
                </c:pt>
                <c:pt idx="587">
                  <c:v>1.3075806315</c:v>
                </c:pt>
                <c:pt idx="588">
                  <c:v>1.3193716315</c:v>
                </c:pt>
                <c:pt idx="589">
                  <c:v>1.316042124</c:v>
                </c:pt>
                <c:pt idx="590">
                  <c:v>1.316042124</c:v>
                </c:pt>
                <c:pt idx="591">
                  <c:v>1.3193716315</c:v>
                </c:pt>
                <c:pt idx="592">
                  <c:v>1.3193716315</c:v>
                </c:pt>
                <c:pt idx="593">
                  <c:v>1.3287897645</c:v>
                </c:pt>
                <c:pt idx="594">
                  <c:v>1.3189240455</c:v>
                </c:pt>
                <c:pt idx="595">
                  <c:v>1.317963405</c:v>
                </c:pt>
                <c:pt idx="596">
                  <c:v>1.3189240455</c:v>
                </c:pt>
                <c:pt idx="597">
                  <c:v>1.3161088965</c:v>
                </c:pt>
                <c:pt idx="598">
                  <c:v>1.317963405</c:v>
                </c:pt>
                <c:pt idx="599">
                  <c:v>1.318410665</c:v>
                </c:pt>
                <c:pt idx="600">
                  <c:v>1.3170027645</c:v>
                </c:pt>
                <c:pt idx="601">
                  <c:v>1.3170027645</c:v>
                </c:pt>
                <c:pt idx="602">
                  <c:v>1.317963405</c:v>
                </c:pt>
              </c:numCache>
            </c:numRef>
          </c:yVal>
          <c:smooth val="0"/>
        </c:ser>
        <c:axId val="46229303"/>
        <c:axId val="6306522"/>
      </c:scatterChart>
      <c:valAx>
        <c:axId val="46229303"/>
        <c:scaling>
          <c:orientation val="minMax"/>
          <c:max val="300"/>
          <c:min val="17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 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6522"/>
        <c:crosses val="autoZero"/>
        <c:crossBetween val="midCat"/>
      </c:valAx>
      <c:valAx>
        <c:axId val="6306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2930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Pack voltage over the whole log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"Pack voltage"</c:f>
              <c:strCache>
                <c:ptCount val="1"/>
                <c:pt idx="0">
                  <c:v>Pack voltage</c:v>
                </c:pt>
              </c:strCache>
            </c:strRef>
          </c:tx>
          <c:spPr>
            <a:solidFill>
              <a:srgbClr val="2a2a2a"/>
            </a:solidFill>
            <a:ln w="15840">
              <a:solidFill>
                <a:srgbClr val="2a2a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Data!$A$2:$A$604</c:f>
              <c:numCache>
                <c:formatCode>General</c:formatCode>
                <c:ptCount val="603"/>
                <c:pt idx="0">
                  <c:v>174.84</c:v>
                </c:pt>
                <c:pt idx="1">
                  <c:v>175.03</c:v>
                </c:pt>
                <c:pt idx="2">
                  <c:v>175.24</c:v>
                </c:pt>
                <c:pt idx="3">
                  <c:v>175.44</c:v>
                </c:pt>
                <c:pt idx="4">
                  <c:v>175.63</c:v>
                </c:pt>
                <c:pt idx="5">
                  <c:v>175.84</c:v>
                </c:pt>
                <c:pt idx="6">
                  <c:v>176.03</c:v>
                </c:pt>
                <c:pt idx="7">
                  <c:v>176.24</c:v>
                </c:pt>
                <c:pt idx="8">
                  <c:v>176.44</c:v>
                </c:pt>
                <c:pt idx="9">
                  <c:v>176.63</c:v>
                </c:pt>
                <c:pt idx="10">
                  <c:v>176.84</c:v>
                </c:pt>
                <c:pt idx="11">
                  <c:v>177.03</c:v>
                </c:pt>
                <c:pt idx="12">
                  <c:v>177.24</c:v>
                </c:pt>
                <c:pt idx="13">
                  <c:v>177.44</c:v>
                </c:pt>
                <c:pt idx="14">
                  <c:v>177.63</c:v>
                </c:pt>
                <c:pt idx="15">
                  <c:v>177.84</c:v>
                </c:pt>
                <c:pt idx="16">
                  <c:v>178.03</c:v>
                </c:pt>
                <c:pt idx="17">
                  <c:v>178.24</c:v>
                </c:pt>
                <c:pt idx="18">
                  <c:v>178.44</c:v>
                </c:pt>
                <c:pt idx="19">
                  <c:v>178.63</c:v>
                </c:pt>
                <c:pt idx="20">
                  <c:v>178.83</c:v>
                </c:pt>
                <c:pt idx="21">
                  <c:v>179.03</c:v>
                </c:pt>
                <c:pt idx="22">
                  <c:v>179.23</c:v>
                </c:pt>
                <c:pt idx="23">
                  <c:v>179.44</c:v>
                </c:pt>
                <c:pt idx="24">
                  <c:v>179.64</c:v>
                </c:pt>
                <c:pt idx="25">
                  <c:v>179.84</c:v>
                </c:pt>
                <c:pt idx="26">
                  <c:v>180.04</c:v>
                </c:pt>
                <c:pt idx="27">
                  <c:v>180.24</c:v>
                </c:pt>
                <c:pt idx="28">
                  <c:v>180.44</c:v>
                </c:pt>
                <c:pt idx="29">
                  <c:v>180.64</c:v>
                </c:pt>
                <c:pt idx="30">
                  <c:v>180.84</c:v>
                </c:pt>
                <c:pt idx="31">
                  <c:v>181.04</c:v>
                </c:pt>
                <c:pt idx="32">
                  <c:v>181.24</c:v>
                </c:pt>
                <c:pt idx="33">
                  <c:v>181.44</c:v>
                </c:pt>
                <c:pt idx="34">
                  <c:v>181.64</c:v>
                </c:pt>
                <c:pt idx="35">
                  <c:v>181.84</c:v>
                </c:pt>
                <c:pt idx="36">
                  <c:v>182.04</c:v>
                </c:pt>
                <c:pt idx="37">
                  <c:v>182.24</c:v>
                </c:pt>
                <c:pt idx="38">
                  <c:v>182.44</c:v>
                </c:pt>
                <c:pt idx="39">
                  <c:v>182.64</c:v>
                </c:pt>
                <c:pt idx="40">
                  <c:v>182.84</c:v>
                </c:pt>
                <c:pt idx="41">
                  <c:v>183.04</c:v>
                </c:pt>
                <c:pt idx="42">
                  <c:v>183.24</c:v>
                </c:pt>
                <c:pt idx="43">
                  <c:v>183.44</c:v>
                </c:pt>
                <c:pt idx="44">
                  <c:v>183.64</c:v>
                </c:pt>
                <c:pt idx="45">
                  <c:v>183.84</c:v>
                </c:pt>
                <c:pt idx="46">
                  <c:v>184.03</c:v>
                </c:pt>
                <c:pt idx="47">
                  <c:v>184.23</c:v>
                </c:pt>
                <c:pt idx="48">
                  <c:v>184.43</c:v>
                </c:pt>
                <c:pt idx="49">
                  <c:v>184.63</c:v>
                </c:pt>
                <c:pt idx="50">
                  <c:v>184.83</c:v>
                </c:pt>
                <c:pt idx="51">
                  <c:v>185.03</c:v>
                </c:pt>
                <c:pt idx="52">
                  <c:v>185.24</c:v>
                </c:pt>
                <c:pt idx="53">
                  <c:v>185.44</c:v>
                </c:pt>
                <c:pt idx="54">
                  <c:v>185.64</c:v>
                </c:pt>
                <c:pt idx="55">
                  <c:v>185.84</c:v>
                </c:pt>
                <c:pt idx="56">
                  <c:v>186.04</c:v>
                </c:pt>
                <c:pt idx="57">
                  <c:v>186.24</c:v>
                </c:pt>
                <c:pt idx="58">
                  <c:v>186.44</c:v>
                </c:pt>
                <c:pt idx="59">
                  <c:v>186.64</c:v>
                </c:pt>
                <c:pt idx="60">
                  <c:v>186.84</c:v>
                </c:pt>
                <c:pt idx="61">
                  <c:v>187.04</c:v>
                </c:pt>
                <c:pt idx="62">
                  <c:v>187.24</c:v>
                </c:pt>
                <c:pt idx="63">
                  <c:v>187.44</c:v>
                </c:pt>
                <c:pt idx="64">
                  <c:v>187.64</c:v>
                </c:pt>
                <c:pt idx="65">
                  <c:v>187.84</c:v>
                </c:pt>
                <c:pt idx="66">
                  <c:v>188.04</c:v>
                </c:pt>
                <c:pt idx="67">
                  <c:v>188.24</c:v>
                </c:pt>
                <c:pt idx="68">
                  <c:v>188.44</c:v>
                </c:pt>
                <c:pt idx="69">
                  <c:v>188.64</c:v>
                </c:pt>
                <c:pt idx="70">
                  <c:v>188.84</c:v>
                </c:pt>
                <c:pt idx="71">
                  <c:v>189.04</c:v>
                </c:pt>
                <c:pt idx="72">
                  <c:v>189.24</c:v>
                </c:pt>
                <c:pt idx="73">
                  <c:v>189.44</c:v>
                </c:pt>
                <c:pt idx="74">
                  <c:v>189.64</c:v>
                </c:pt>
                <c:pt idx="75">
                  <c:v>189.84</c:v>
                </c:pt>
                <c:pt idx="76">
                  <c:v>190.04</c:v>
                </c:pt>
                <c:pt idx="77">
                  <c:v>190.24</c:v>
                </c:pt>
                <c:pt idx="78">
                  <c:v>190.44</c:v>
                </c:pt>
                <c:pt idx="79">
                  <c:v>190.64</c:v>
                </c:pt>
                <c:pt idx="80">
                  <c:v>190.84</c:v>
                </c:pt>
                <c:pt idx="81">
                  <c:v>191.04</c:v>
                </c:pt>
                <c:pt idx="82">
                  <c:v>191.24</c:v>
                </c:pt>
                <c:pt idx="83">
                  <c:v>191.44</c:v>
                </c:pt>
                <c:pt idx="84">
                  <c:v>191.64</c:v>
                </c:pt>
                <c:pt idx="85">
                  <c:v>191.84</c:v>
                </c:pt>
                <c:pt idx="86">
                  <c:v>192.04</c:v>
                </c:pt>
                <c:pt idx="87">
                  <c:v>192.24</c:v>
                </c:pt>
                <c:pt idx="88">
                  <c:v>192.44</c:v>
                </c:pt>
                <c:pt idx="89">
                  <c:v>192.64</c:v>
                </c:pt>
                <c:pt idx="90">
                  <c:v>192.84</c:v>
                </c:pt>
                <c:pt idx="91">
                  <c:v>193.04</c:v>
                </c:pt>
                <c:pt idx="92">
                  <c:v>193.24</c:v>
                </c:pt>
                <c:pt idx="93">
                  <c:v>193.44</c:v>
                </c:pt>
                <c:pt idx="94">
                  <c:v>193.64</c:v>
                </c:pt>
                <c:pt idx="95">
                  <c:v>193.84</c:v>
                </c:pt>
                <c:pt idx="96">
                  <c:v>194.04</c:v>
                </c:pt>
                <c:pt idx="97">
                  <c:v>194.24</c:v>
                </c:pt>
                <c:pt idx="98">
                  <c:v>194.44</c:v>
                </c:pt>
                <c:pt idx="99">
                  <c:v>194.64</c:v>
                </c:pt>
                <c:pt idx="100">
                  <c:v>194.84</c:v>
                </c:pt>
                <c:pt idx="101">
                  <c:v>195.04</c:v>
                </c:pt>
                <c:pt idx="102">
                  <c:v>195.24</c:v>
                </c:pt>
                <c:pt idx="103">
                  <c:v>195.44</c:v>
                </c:pt>
                <c:pt idx="104">
                  <c:v>195.64</c:v>
                </c:pt>
                <c:pt idx="105">
                  <c:v>195.84</c:v>
                </c:pt>
                <c:pt idx="106">
                  <c:v>196.04</c:v>
                </c:pt>
                <c:pt idx="107">
                  <c:v>196.24</c:v>
                </c:pt>
                <c:pt idx="108">
                  <c:v>196.44</c:v>
                </c:pt>
                <c:pt idx="109">
                  <c:v>196.64</c:v>
                </c:pt>
                <c:pt idx="110">
                  <c:v>196.84</c:v>
                </c:pt>
                <c:pt idx="111">
                  <c:v>197.04</c:v>
                </c:pt>
                <c:pt idx="112">
                  <c:v>197.24</c:v>
                </c:pt>
                <c:pt idx="113">
                  <c:v>197.44</c:v>
                </c:pt>
                <c:pt idx="114">
                  <c:v>197.64</c:v>
                </c:pt>
                <c:pt idx="115">
                  <c:v>197.84</c:v>
                </c:pt>
                <c:pt idx="116">
                  <c:v>198.04</c:v>
                </c:pt>
                <c:pt idx="117">
                  <c:v>198.24</c:v>
                </c:pt>
                <c:pt idx="118">
                  <c:v>198.44</c:v>
                </c:pt>
                <c:pt idx="119">
                  <c:v>198.64</c:v>
                </c:pt>
                <c:pt idx="120">
                  <c:v>198.84</c:v>
                </c:pt>
                <c:pt idx="121">
                  <c:v>199.04</c:v>
                </c:pt>
                <c:pt idx="122">
                  <c:v>199.24</c:v>
                </c:pt>
                <c:pt idx="123">
                  <c:v>199.44</c:v>
                </c:pt>
                <c:pt idx="124">
                  <c:v>199.64</c:v>
                </c:pt>
                <c:pt idx="125">
                  <c:v>199.84</c:v>
                </c:pt>
                <c:pt idx="126">
                  <c:v>200.04</c:v>
                </c:pt>
                <c:pt idx="127">
                  <c:v>200.24</c:v>
                </c:pt>
                <c:pt idx="128">
                  <c:v>200.44</c:v>
                </c:pt>
                <c:pt idx="129">
                  <c:v>200.64</c:v>
                </c:pt>
                <c:pt idx="130">
                  <c:v>200.84</c:v>
                </c:pt>
                <c:pt idx="131">
                  <c:v>201.04</c:v>
                </c:pt>
                <c:pt idx="132">
                  <c:v>201.24</c:v>
                </c:pt>
                <c:pt idx="133">
                  <c:v>201.44</c:v>
                </c:pt>
                <c:pt idx="134">
                  <c:v>201.64</c:v>
                </c:pt>
                <c:pt idx="135">
                  <c:v>201.84</c:v>
                </c:pt>
                <c:pt idx="136">
                  <c:v>202.04</c:v>
                </c:pt>
                <c:pt idx="137">
                  <c:v>202.24</c:v>
                </c:pt>
                <c:pt idx="138">
                  <c:v>202.44</c:v>
                </c:pt>
                <c:pt idx="139">
                  <c:v>202.64</c:v>
                </c:pt>
                <c:pt idx="140">
                  <c:v>202.84</c:v>
                </c:pt>
                <c:pt idx="141">
                  <c:v>203.04</c:v>
                </c:pt>
                <c:pt idx="142">
                  <c:v>203.24</c:v>
                </c:pt>
                <c:pt idx="143">
                  <c:v>203.44</c:v>
                </c:pt>
                <c:pt idx="144">
                  <c:v>203.64</c:v>
                </c:pt>
                <c:pt idx="145">
                  <c:v>203.84</c:v>
                </c:pt>
                <c:pt idx="146">
                  <c:v>204.04</c:v>
                </c:pt>
                <c:pt idx="147">
                  <c:v>204.24</c:v>
                </c:pt>
                <c:pt idx="148">
                  <c:v>204.44</c:v>
                </c:pt>
                <c:pt idx="149">
                  <c:v>204.64</c:v>
                </c:pt>
                <c:pt idx="150">
                  <c:v>204.84</c:v>
                </c:pt>
                <c:pt idx="151">
                  <c:v>205.04</c:v>
                </c:pt>
                <c:pt idx="152">
                  <c:v>205.24</c:v>
                </c:pt>
                <c:pt idx="153">
                  <c:v>205.44</c:v>
                </c:pt>
                <c:pt idx="154">
                  <c:v>205.64</c:v>
                </c:pt>
                <c:pt idx="155">
                  <c:v>205.84</c:v>
                </c:pt>
                <c:pt idx="156">
                  <c:v>206.04</c:v>
                </c:pt>
                <c:pt idx="157">
                  <c:v>206.24</c:v>
                </c:pt>
                <c:pt idx="158">
                  <c:v>206.44</c:v>
                </c:pt>
                <c:pt idx="159">
                  <c:v>206.64</c:v>
                </c:pt>
                <c:pt idx="160">
                  <c:v>206.84</c:v>
                </c:pt>
                <c:pt idx="161">
                  <c:v>207.04</c:v>
                </c:pt>
                <c:pt idx="162">
                  <c:v>207.24</c:v>
                </c:pt>
                <c:pt idx="163">
                  <c:v>207.44</c:v>
                </c:pt>
                <c:pt idx="164">
                  <c:v>207.64</c:v>
                </c:pt>
                <c:pt idx="165">
                  <c:v>207.84</c:v>
                </c:pt>
                <c:pt idx="166">
                  <c:v>208.04</c:v>
                </c:pt>
                <c:pt idx="167">
                  <c:v>208.24</c:v>
                </c:pt>
                <c:pt idx="168">
                  <c:v>208.44</c:v>
                </c:pt>
                <c:pt idx="169">
                  <c:v>208.64</c:v>
                </c:pt>
                <c:pt idx="170">
                  <c:v>208.84</c:v>
                </c:pt>
                <c:pt idx="171">
                  <c:v>209.04</c:v>
                </c:pt>
                <c:pt idx="172">
                  <c:v>209.24</c:v>
                </c:pt>
                <c:pt idx="173">
                  <c:v>209.44</c:v>
                </c:pt>
                <c:pt idx="174">
                  <c:v>209.64</c:v>
                </c:pt>
                <c:pt idx="175">
                  <c:v>209.84</c:v>
                </c:pt>
                <c:pt idx="176">
                  <c:v>210.04</c:v>
                </c:pt>
                <c:pt idx="177">
                  <c:v>210.24</c:v>
                </c:pt>
                <c:pt idx="178">
                  <c:v>210.44</c:v>
                </c:pt>
                <c:pt idx="179">
                  <c:v>210.64</c:v>
                </c:pt>
                <c:pt idx="180">
                  <c:v>210.84</c:v>
                </c:pt>
                <c:pt idx="181">
                  <c:v>211.04</c:v>
                </c:pt>
                <c:pt idx="182">
                  <c:v>211.24</c:v>
                </c:pt>
                <c:pt idx="183">
                  <c:v>211.44</c:v>
                </c:pt>
                <c:pt idx="184">
                  <c:v>211.64</c:v>
                </c:pt>
                <c:pt idx="185">
                  <c:v>211.84</c:v>
                </c:pt>
                <c:pt idx="186">
                  <c:v>212.04</c:v>
                </c:pt>
                <c:pt idx="187">
                  <c:v>212.24</c:v>
                </c:pt>
                <c:pt idx="188">
                  <c:v>212.44</c:v>
                </c:pt>
                <c:pt idx="189">
                  <c:v>212.64</c:v>
                </c:pt>
                <c:pt idx="190">
                  <c:v>212.84</c:v>
                </c:pt>
                <c:pt idx="191">
                  <c:v>213.04</c:v>
                </c:pt>
                <c:pt idx="192">
                  <c:v>213.24</c:v>
                </c:pt>
                <c:pt idx="193">
                  <c:v>213.44</c:v>
                </c:pt>
                <c:pt idx="194">
                  <c:v>213.64</c:v>
                </c:pt>
                <c:pt idx="195">
                  <c:v>213.84</c:v>
                </c:pt>
                <c:pt idx="196">
                  <c:v>214.04</c:v>
                </c:pt>
                <c:pt idx="197">
                  <c:v>214.24</c:v>
                </c:pt>
                <c:pt idx="198">
                  <c:v>214.44</c:v>
                </c:pt>
                <c:pt idx="199">
                  <c:v>214.64</c:v>
                </c:pt>
                <c:pt idx="200">
                  <c:v>214.84</c:v>
                </c:pt>
                <c:pt idx="201">
                  <c:v>215.04</c:v>
                </c:pt>
                <c:pt idx="202">
                  <c:v>215.24</c:v>
                </c:pt>
                <c:pt idx="203">
                  <c:v>215.44</c:v>
                </c:pt>
                <c:pt idx="204">
                  <c:v>215.64</c:v>
                </c:pt>
                <c:pt idx="205">
                  <c:v>215.84</c:v>
                </c:pt>
                <c:pt idx="206">
                  <c:v>216.04</c:v>
                </c:pt>
                <c:pt idx="207">
                  <c:v>216.24</c:v>
                </c:pt>
                <c:pt idx="208">
                  <c:v>216.44</c:v>
                </c:pt>
                <c:pt idx="209">
                  <c:v>216.64</c:v>
                </c:pt>
                <c:pt idx="210">
                  <c:v>216.84</c:v>
                </c:pt>
                <c:pt idx="211">
                  <c:v>217.04</c:v>
                </c:pt>
                <c:pt idx="212">
                  <c:v>217.24</c:v>
                </c:pt>
                <c:pt idx="213">
                  <c:v>217.44</c:v>
                </c:pt>
                <c:pt idx="214">
                  <c:v>217.64</c:v>
                </c:pt>
                <c:pt idx="215">
                  <c:v>217.84</c:v>
                </c:pt>
                <c:pt idx="216">
                  <c:v>218.04</c:v>
                </c:pt>
                <c:pt idx="217">
                  <c:v>218.24</c:v>
                </c:pt>
                <c:pt idx="218">
                  <c:v>218.44</c:v>
                </c:pt>
                <c:pt idx="219">
                  <c:v>218.64</c:v>
                </c:pt>
                <c:pt idx="220">
                  <c:v>218.84</c:v>
                </c:pt>
                <c:pt idx="221">
                  <c:v>219.04</c:v>
                </c:pt>
                <c:pt idx="222">
                  <c:v>219.24</c:v>
                </c:pt>
                <c:pt idx="223">
                  <c:v>219.44</c:v>
                </c:pt>
                <c:pt idx="224">
                  <c:v>219.64</c:v>
                </c:pt>
                <c:pt idx="225">
                  <c:v>219.84</c:v>
                </c:pt>
                <c:pt idx="226">
                  <c:v>220.04</c:v>
                </c:pt>
                <c:pt idx="227">
                  <c:v>220.24</c:v>
                </c:pt>
                <c:pt idx="228">
                  <c:v>220.44</c:v>
                </c:pt>
                <c:pt idx="229">
                  <c:v>220.64</c:v>
                </c:pt>
                <c:pt idx="230">
                  <c:v>220.84</c:v>
                </c:pt>
                <c:pt idx="231">
                  <c:v>221.04</c:v>
                </c:pt>
                <c:pt idx="232">
                  <c:v>221.24</c:v>
                </c:pt>
                <c:pt idx="233">
                  <c:v>221.44</c:v>
                </c:pt>
                <c:pt idx="234">
                  <c:v>221.64</c:v>
                </c:pt>
                <c:pt idx="235">
                  <c:v>221.84</c:v>
                </c:pt>
                <c:pt idx="236">
                  <c:v>222.04</c:v>
                </c:pt>
                <c:pt idx="237">
                  <c:v>222.25</c:v>
                </c:pt>
                <c:pt idx="238">
                  <c:v>222.45</c:v>
                </c:pt>
                <c:pt idx="239">
                  <c:v>222.65</c:v>
                </c:pt>
                <c:pt idx="240">
                  <c:v>222.85</c:v>
                </c:pt>
                <c:pt idx="241">
                  <c:v>223.05</c:v>
                </c:pt>
                <c:pt idx="242">
                  <c:v>223.27</c:v>
                </c:pt>
                <c:pt idx="243">
                  <c:v>223.46</c:v>
                </c:pt>
                <c:pt idx="244">
                  <c:v>223.66</c:v>
                </c:pt>
                <c:pt idx="245">
                  <c:v>223.86</c:v>
                </c:pt>
                <c:pt idx="246">
                  <c:v>224.06</c:v>
                </c:pt>
                <c:pt idx="247">
                  <c:v>224.26</c:v>
                </c:pt>
                <c:pt idx="248">
                  <c:v>224.46</c:v>
                </c:pt>
                <c:pt idx="249">
                  <c:v>224.66</c:v>
                </c:pt>
                <c:pt idx="250">
                  <c:v>224.86</c:v>
                </c:pt>
                <c:pt idx="251">
                  <c:v>225.06</c:v>
                </c:pt>
                <c:pt idx="252">
                  <c:v>225.26</c:v>
                </c:pt>
                <c:pt idx="253">
                  <c:v>225.46</c:v>
                </c:pt>
                <c:pt idx="254">
                  <c:v>225.66</c:v>
                </c:pt>
                <c:pt idx="255">
                  <c:v>225.86</c:v>
                </c:pt>
                <c:pt idx="256">
                  <c:v>226.06</c:v>
                </c:pt>
                <c:pt idx="257">
                  <c:v>226.26</c:v>
                </c:pt>
                <c:pt idx="258">
                  <c:v>226.46</c:v>
                </c:pt>
                <c:pt idx="259">
                  <c:v>226.66</c:v>
                </c:pt>
                <c:pt idx="260">
                  <c:v>226.86</c:v>
                </c:pt>
                <c:pt idx="261">
                  <c:v>227.06</c:v>
                </c:pt>
                <c:pt idx="262">
                  <c:v>227.26</c:v>
                </c:pt>
                <c:pt idx="263">
                  <c:v>227.46</c:v>
                </c:pt>
                <c:pt idx="264">
                  <c:v>227.66</c:v>
                </c:pt>
                <c:pt idx="265">
                  <c:v>227.86</c:v>
                </c:pt>
                <c:pt idx="266">
                  <c:v>228.06</c:v>
                </c:pt>
                <c:pt idx="267">
                  <c:v>228.26</c:v>
                </c:pt>
                <c:pt idx="268">
                  <c:v>228.46</c:v>
                </c:pt>
                <c:pt idx="269">
                  <c:v>228.66</c:v>
                </c:pt>
                <c:pt idx="270">
                  <c:v>228.86</c:v>
                </c:pt>
                <c:pt idx="271">
                  <c:v>229.06</c:v>
                </c:pt>
                <c:pt idx="272">
                  <c:v>229.26</c:v>
                </c:pt>
                <c:pt idx="273">
                  <c:v>229.46</c:v>
                </c:pt>
                <c:pt idx="274">
                  <c:v>229.66</c:v>
                </c:pt>
                <c:pt idx="275">
                  <c:v>229.86</c:v>
                </c:pt>
                <c:pt idx="276">
                  <c:v>230.06</c:v>
                </c:pt>
                <c:pt idx="277">
                  <c:v>230.26</c:v>
                </c:pt>
                <c:pt idx="278">
                  <c:v>230.46</c:v>
                </c:pt>
                <c:pt idx="279">
                  <c:v>230.66</c:v>
                </c:pt>
                <c:pt idx="280">
                  <c:v>230.86</c:v>
                </c:pt>
                <c:pt idx="281">
                  <c:v>231.06</c:v>
                </c:pt>
                <c:pt idx="282">
                  <c:v>231.26</c:v>
                </c:pt>
                <c:pt idx="283">
                  <c:v>231.46</c:v>
                </c:pt>
                <c:pt idx="284">
                  <c:v>231.66</c:v>
                </c:pt>
                <c:pt idx="285">
                  <c:v>231.86</c:v>
                </c:pt>
                <c:pt idx="286">
                  <c:v>232.06</c:v>
                </c:pt>
                <c:pt idx="287">
                  <c:v>232.26</c:v>
                </c:pt>
                <c:pt idx="288">
                  <c:v>232.46</c:v>
                </c:pt>
                <c:pt idx="289">
                  <c:v>232.66</c:v>
                </c:pt>
                <c:pt idx="290">
                  <c:v>232.86</c:v>
                </c:pt>
                <c:pt idx="291">
                  <c:v>233.06</c:v>
                </c:pt>
                <c:pt idx="292">
                  <c:v>233.26</c:v>
                </c:pt>
                <c:pt idx="293">
                  <c:v>233.46</c:v>
                </c:pt>
                <c:pt idx="294">
                  <c:v>233.66</c:v>
                </c:pt>
                <c:pt idx="295">
                  <c:v>233.86</c:v>
                </c:pt>
                <c:pt idx="296">
                  <c:v>234.06</c:v>
                </c:pt>
                <c:pt idx="297">
                  <c:v>234.26</c:v>
                </c:pt>
                <c:pt idx="298">
                  <c:v>234.46</c:v>
                </c:pt>
                <c:pt idx="299">
                  <c:v>234.66</c:v>
                </c:pt>
                <c:pt idx="300">
                  <c:v>234.86</c:v>
                </c:pt>
                <c:pt idx="301">
                  <c:v>235.06</c:v>
                </c:pt>
                <c:pt idx="302">
                  <c:v>235.26</c:v>
                </c:pt>
                <c:pt idx="303">
                  <c:v>235.46</c:v>
                </c:pt>
                <c:pt idx="304">
                  <c:v>235.66</c:v>
                </c:pt>
                <c:pt idx="305">
                  <c:v>235.86</c:v>
                </c:pt>
                <c:pt idx="306">
                  <c:v>236.06</c:v>
                </c:pt>
                <c:pt idx="307">
                  <c:v>236.26</c:v>
                </c:pt>
                <c:pt idx="308">
                  <c:v>236.46</c:v>
                </c:pt>
                <c:pt idx="309">
                  <c:v>236.66</c:v>
                </c:pt>
                <c:pt idx="310">
                  <c:v>236.86</c:v>
                </c:pt>
                <c:pt idx="311">
                  <c:v>237.06</c:v>
                </c:pt>
                <c:pt idx="312">
                  <c:v>237.26</c:v>
                </c:pt>
                <c:pt idx="313">
                  <c:v>237.46</c:v>
                </c:pt>
                <c:pt idx="314">
                  <c:v>237.66</c:v>
                </c:pt>
                <c:pt idx="315">
                  <c:v>237.86</c:v>
                </c:pt>
                <c:pt idx="316">
                  <c:v>238.06</c:v>
                </c:pt>
                <c:pt idx="317">
                  <c:v>238.26</c:v>
                </c:pt>
                <c:pt idx="318">
                  <c:v>238.46</c:v>
                </c:pt>
                <c:pt idx="319">
                  <c:v>238.66</c:v>
                </c:pt>
                <c:pt idx="320">
                  <c:v>238.86</c:v>
                </c:pt>
                <c:pt idx="321">
                  <c:v>239.06</c:v>
                </c:pt>
                <c:pt idx="322">
                  <c:v>239.26</c:v>
                </c:pt>
                <c:pt idx="323">
                  <c:v>239.46</c:v>
                </c:pt>
                <c:pt idx="324">
                  <c:v>239.66</c:v>
                </c:pt>
                <c:pt idx="325">
                  <c:v>239.86</c:v>
                </c:pt>
                <c:pt idx="326">
                  <c:v>240.06</c:v>
                </c:pt>
                <c:pt idx="327">
                  <c:v>240.26</c:v>
                </c:pt>
                <c:pt idx="328">
                  <c:v>240.46</c:v>
                </c:pt>
                <c:pt idx="329">
                  <c:v>240.66</c:v>
                </c:pt>
                <c:pt idx="330">
                  <c:v>240.86</c:v>
                </c:pt>
                <c:pt idx="331">
                  <c:v>241.06</c:v>
                </c:pt>
                <c:pt idx="332">
                  <c:v>241.26</c:v>
                </c:pt>
                <c:pt idx="333">
                  <c:v>241.46</c:v>
                </c:pt>
                <c:pt idx="334">
                  <c:v>241.66</c:v>
                </c:pt>
                <c:pt idx="335">
                  <c:v>241.86</c:v>
                </c:pt>
                <c:pt idx="336">
                  <c:v>242.06</c:v>
                </c:pt>
                <c:pt idx="337">
                  <c:v>242.26</c:v>
                </c:pt>
                <c:pt idx="338">
                  <c:v>242.46</c:v>
                </c:pt>
                <c:pt idx="339">
                  <c:v>242.66</c:v>
                </c:pt>
                <c:pt idx="340">
                  <c:v>242.86</c:v>
                </c:pt>
                <c:pt idx="341">
                  <c:v>243.06</c:v>
                </c:pt>
                <c:pt idx="342">
                  <c:v>243.26</c:v>
                </c:pt>
                <c:pt idx="343">
                  <c:v>243.46</c:v>
                </c:pt>
                <c:pt idx="344">
                  <c:v>243.66</c:v>
                </c:pt>
                <c:pt idx="345">
                  <c:v>243.86</c:v>
                </c:pt>
                <c:pt idx="346">
                  <c:v>244.06</c:v>
                </c:pt>
                <c:pt idx="347">
                  <c:v>244.26</c:v>
                </c:pt>
                <c:pt idx="348">
                  <c:v>244.46</c:v>
                </c:pt>
                <c:pt idx="349">
                  <c:v>244.66</c:v>
                </c:pt>
                <c:pt idx="350">
                  <c:v>244.86</c:v>
                </c:pt>
                <c:pt idx="351">
                  <c:v>245.06</c:v>
                </c:pt>
                <c:pt idx="352">
                  <c:v>245.26</c:v>
                </c:pt>
                <c:pt idx="353">
                  <c:v>245.46</c:v>
                </c:pt>
                <c:pt idx="354">
                  <c:v>245.66</c:v>
                </c:pt>
                <c:pt idx="355">
                  <c:v>245.86</c:v>
                </c:pt>
                <c:pt idx="356">
                  <c:v>246.06</c:v>
                </c:pt>
                <c:pt idx="357">
                  <c:v>246.26</c:v>
                </c:pt>
                <c:pt idx="358">
                  <c:v>246.46</c:v>
                </c:pt>
                <c:pt idx="359">
                  <c:v>246.66</c:v>
                </c:pt>
                <c:pt idx="360">
                  <c:v>246.86</c:v>
                </c:pt>
                <c:pt idx="361">
                  <c:v>247.06</c:v>
                </c:pt>
                <c:pt idx="362">
                  <c:v>247.26</c:v>
                </c:pt>
                <c:pt idx="363">
                  <c:v>247.46</c:v>
                </c:pt>
                <c:pt idx="364">
                  <c:v>247.66</c:v>
                </c:pt>
                <c:pt idx="365">
                  <c:v>247.86</c:v>
                </c:pt>
                <c:pt idx="366">
                  <c:v>248.06</c:v>
                </c:pt>
                <c:pt idx="367">
                  <c:v>248.26</c:v>
                </c:pt>
                <c:pt idx="368">
                  <c:v>248.46</c:v>
                </c:pt>
                <c:pt idx="369">
                  <c:v>248.66</c:v>
                </c:pt>
                <c:pt idx="370">
                  <c:v>248.86</c:v>
                </c:pt>
                <c:pt idx="371">
                  <c:v>249.06</c:v>
                </c:pt>
                <c:pt idx="372">
                  <c:v>249.26</c:v>
                </c:pt>
                <c:pt idx="373">
                  <c:v>249.46</c:v>
                </c:pt>
                <c:pt idx="374">
                  <c:v>249.66</c:v>
                </c:pt>
                <c:pt idx="375">
                  <c:v>249.86</c:v>
                </c:pt>
                <c:pt idx="376">
                  <c:v>250.06</c:v>
                </c:pt>
                <c:pt idx="377">
                  <c:v>250.26</c:v>
                </c:pt>
                <c:pt idx="378">
                  <c:v>250.46</c:v>
                </c:pt>
                <c:pt idx="379">
                  <c:v>250.66</c:v>
                </c:pt>
                <c:pt idx="380">
                  <c:v>250.86</c:v>
                </c:pt>
                <c:pt idx="381">
                  <c:v>251.06</c:v>
                </c:pt>
                <c:pt idx="382">
                  <c:v>251.26</c:v>
                </c:pt>
                <c:pt idx="383">
                  <c:v>251.46</c:v>
                </c:pt>
                <c:pt idx="384">
                  <c:v>251.66</c:v>
                </c:pt>
                <c:pt idx="385">
                  <c:v>251.86</c:v>
                </c:pt>
                <c:pt idx="386">
                  <c:v>252.06</c:v>
                </c:pt>
                <c:pt idx="387">
                  <c:v>252.26</c:v>
                </c:pt>
                <c:pt idx="388">
                  <c:v>252.46</c:v>
                </c:pt>
                <c:pt idx="389">
                  <c:v>252.66</c:v>
                </c:pt>
                <c:pt idx="390">
                  <c:v>252.86</c:v>
                </c:pt>
                <c:pt idx="391">
                  <c:v>253.06</c:v>
                </c:pt>
                <c:pt idx="392">
                  <c:v>253.26</c:v>
                </c:pt>
                <c:pt idx="393">
                  <c:v>253.46</c:v>
                </c:pt>
                <c:pt idx="394">
                  <c:v>253.66</c:v>
                </c:pt>
                <c:pt idx="395">
                  <c:v>253.86</c:v>
                </c:pt>
                <c:pt idx="396">
                  <c:v>254.06</c:v>
                </c:pt>
                <c:pt idx="397">
                  <c:v>254.26</c:v>
                </c:pt>
                <c:pt idx="398">
                  <c:v>254.46</c:v>
                </c:pt>
                <c:pt idx="399">
                  <c:v>254.66</c:v>
                </c:pt>
                <c:pt idx="400">
                  <c:v>254.86</c:v>
                </c:pt>
                <c:pt idx="401">
                  <c:v>255.06</c:v>
                </c:pt>
                <c:pt idx="402">
                  <c:v>255.26</c:v>
                </c:pt>
                <c:pt idx="403">
                  <c:v>255.46</c:v>
                </c:pt>
                <c:pt idx="404">
                  <c:v>255.66</c:v>
                </c:pt>
                <c:pt idx="405">
                  <c:v>255.86</c:v>
                </c:pt>
                <c:pt idx="406">
                  <c:v>256.06</c:v>
                </c:pt>
                <c:pt idx="407">
                  <c:v>256.26</c:v>
                </c:pt>
                <c:pt idx="408">
                  <c:v>256.46</c:v>
                </c:pt>
                <c:pt idx="409">
                  <c:v>256.66</c:v>
                </c:pt>
                <c:pt idx="410">
                  <c:v>256.86</c:v>
                </c:pt>
                <c:pt idx="411">
                  <c:v>257.06</c:v>
                </c:pt>
                <c:pt idx="412">
                  <c:v>257.26</c:v>
                </c:pt>
                <c:pt idx="413">
                  <c:v>257.46</c:v>
                </c:pt>
                <c:pt idx="414">
                  <c:v>257.66</c:v>
                </c:pt>
                <c:pt idx="415">
                  <c:v>257.86</c:v>
                </c:pt>
                <c:pt idx="416">
                  <c:v>258.06</c:v>
                </c:pt>
                <c:pt idx="417">
                  <c:v>258.26</c:v>
                </c:pt>
                <c:pt idx="418">
                  <c:v>258.46</c:v>
                </c:pt>
                <c:pt idx="419">
                  <c:v>258.66</c:v>
                </c:pt>
                <c:pt idx="420">
                  <c:v>258.86</c:v>
                </c:pt>
                <c:pt idx="421">
                  <c:v>259.06</c:v>
                </c:pt>
                <c:pt idx="422">
                  <c:v>259.26</c:v>
                </c:pt>
                <c:pt idx="423">
                  <c:v>259.46</c:v>
                </c:pt>
                <c:pt idx="424">
                  <c:v>259.66</c:v>
                </c:pt>
                <c:pt idx="425">
                  <c:v>259.86</c:v>
                </c:pt>
                <c:pt idx="426">
                  <c:v>260.06</c:v>
                </c:pt>
                <c:pt idx="427">
                  <c:v>260.26</c:v>
                </c:pt>
                <c:pt idx="428">
                  <c:v>260.46</c:v>
                </c:pt>
                <c:pt idx="429">
                  <c:v>260.66</c:v>
                </c:pt>
                <c:pt idx="430">
                  <c:v>260.86</c:v>
                </c:pt>
                <c:pt idx="431">
                  <c:v>261.06</c:v>
                </c:pt>
                <c:pt idx="432">
                  <c:v>261.26</c:v>
                </c:pt>
                <c:pt idx="433">
                  <c:v>261.46</c:v>
                </c:pt>
                <c:pt idx="434">
                  <c:v>261.66</c:v>
                </c:pt>
                <c:pt idx="435">
                  <c:v>261.86</c:v>
                </c:pt>
                <c:pt idx="436">
                  <c:v>262.06</c:v>
                </c:pt>
                <c:pt idx="437">
                  <c:v>262.26</c:v>
                </c:pt>
                <c:pt idx="438">
                  <c:v>262.46</c:v>
                </c:pt>
                <c:pt idx="439">
                  <c:v>262.66</c:v>
                </c:pt>
                <c:pt idx="440">
                  <c:v>262.86</c:v>
                </c:pt>
                <c:pt idx="441">
                  <c:v>263.06</c:v>
                </c:pt>
                <c:pt idx="442">
                  <c:v>263.26</c:v>
                </c:pt>
                <c:pt idx="443">
                  <c:v>263.47</c:v>
                </c:pt>
                <c:pt idx="444">
                  <c:v>263.67</c:v>
                </c:pt>
                <c:pt idx="445">
                  <c:v>263.87</c:v>
                </c:pt>
                <c:pt idx="446">
                  <c:v>264.08</c:v>
                </c:pt>
                <c:pt idx="447">
                  <c:v>264.28</c:v>
                </c:pt>
                <c:pt idx="448">
                  <c:v>264.48</c:v>
                </c:pt>
                <c:pt idx="449">
                  <c:v>264.68</c:v>
                </c:pt>
                <c:pt idx="450">
                  <c:v>264.88</c:v>
                </c:pt>
                <c:pt idx="451">
                  <c:v>265.08</c:v>
                </c:pt>
                <c:pt idx="452">
                  <c:v>265.28</c:v>
                </c:pt>
                <c:pt idx="453">
                  <c:v>265.48</c:v>
                </c:pt>
                <c:pt idx="454">
                  <c:v>265.68</c:v>
                </c:pt>
                <c:pt idx="455">
                  <c:v>265.88</c:v>
                </c:pt>
                <c:pt idx="456">
                  <c:v>266.08</c:v>
                </c:pt>
                <c:pt idx="457">
                  <c:v>266.28</c:v>
                </c:pt>
                <c:pt idx="458">
                  <c:v>266.48</c:v>
                </c:pt>
                <c:pt idx="459">
                  <c:v>266.68</c:v>
                </c:pt>
                <c:pt idx="460">
                  <c:v>266.88</c:v>
                </c:pt>
                <c:pt idx="461">
                  <c:v>267.08</c:v>
                </c:pt>
                <c:pt idx="462">
                  <c:v>267.28</c:v>
                </c:pt>
                <c:pt idx="463">
                  <c:v>267.48</c:v>
                </c:pt>
                <c:pt idx="464">
                  <c:v>267.68</c:v>
                </c:pt>
                <c:pt idx="465">
                  <c:v>267.88</c:v>
                </c:pt>
                <c:pt idx="466">
                  <c:v>268.08</c:v>
                </c:pt>
                <c:pt idx="467">
                  <c:v>268.28</c:v>
                </c:pt>
                <c:pt idx="468">
                  <c:v>268.48</c:v>
                </c:pt>
                <c:pt idx="469">
                  <c:v>268.68</c:v>
                </c:pt>
                <c:pt idx="470">
                  <c:v>268.88</c:v>
                </c:pt>
                <c:pt idx="471">
                  <c:v>269.08</c:v>
                </c:pt>
                <c:pt idx="472">
                  <c:v>269.28</c:v>
                </c:pt>
                <c:pt idx="473">
                  <c:v>269.48</c:v>
                </c:pt>
                <c:pt idx="474">
                  <c:v>269.68</c:v>
                </c:pt>
                <c:pt idx="475">
                  <c:v>269.88</c:v>
                </c:pt>
                <c:pt idx="476">
                  <c:v>270.08</c:v>
                </c:pt>
                <c:pt idx="477">
                  <c:v>270.28</c:v>
                </c:pt>
                <c:pt idx="478">
                  <c:v>270.48</c:v>
                </c:pt>
                <c:pt idx="479">
                  <c:v>270.68</c:v>
                </c:pt>
                <c:pt idx="480">
                  <c:v>270.88</c:v>
                </c:pt>
                <c:pt idx="481">
                  <c:v>271.08</c:v>
                </c:pt>
                <c:pt idx="482">
                  <c:v>271.28</c:v>
                </c:pt>
                <c:pt idx="483">
                  <c:v>271.48</c:v>
                </c:pt>
                <c:pt idx="484">
                  <c:v>271.68</c:v>
                </c:pt>
                <c:pt idx="485">
                  <c:v>271.88</c:v>
                </c:pt>
                <c:pt idx="486">
                  <c:v>272.08</c:v>
                </c:pt>
                <c:pt idx="487">
                  <c:v>272.28</c:v>
                </c:pt>
                <c:pt idx="488">
                  <c:v>272.48</c:v>
                </c:pt>
                <c:pt idx="489">
                  <c:v>272.68</c:v>
                </c:pt>
                <c:pt idx="490">
                  <c:v>272.88</c:v>
                </c:pt>
                <c:pt idx="491">
                  <c:v>273.08</c:v>
                </c:pt>
                <c:pt idx="492">
                  <c:v>273.28</c:v>
                </c:pt>
                <c:pt idx="493">
                  <c:v>273.48</c:v>
                </c:pt>
                <c:pt idx="494">
                  <c:v>273.68</c:v>
                </c:pt>
                <c:pt idx="495">
                  <c:v>273.88</c:v>
                </c:pt>
                <c:pt idx="496">
                  <c:v>274.08</c:v>
                </c:pt>
                <c:pt idx="497">
                  <c:v>274.28</c:v>
                </c:pt>
                <c:pt idx="498">
                  <c:v>274.48</c:v>
                </c:pt>
                <c:pt idx="499">
                  <c:v>274.68</c:v>
                </c:pt>
                <c:pt idx="500">
                  <c:v>274.88</c:v>
                </c:pt>
                <c:pt idx="501">
                  <c:v>275.08</c:v>
                </c:pt>
                <c:pt idx="502">
                  <c:v>275.28</c:v>
                </c:pt>
                <c:pt idx="503">
                  <c:v>275.48</c:v>
                </c:pt>
                <c:pt idx="504">
                  <c:v>275.68</c:v>
                </c:pt>
                <c:pt idx="505">
                  <c:v>275.88</c:v>
                </c:pt>
                <c:pt idx="506">
                  <c:v>276.08</c:v>
                </c:pt>
                <c:pt idx="507">
                  <c:v>276.28</c:v>
                </c:pt>
                <c:pt idx="508">
                  <c:v>276.48</c:v>
                </c:pt>
                <c:pt idx="509">
                  <c:v>276.68</c:v>
                </c:pt>
                <c:pt idx="510">
                  <c:v>276.88</c:v>
                </c:pt>
                <c:pt idx="511">
                  <c:v>277.08</c:v>
                </c:pt>
                <c:pt idx="512">
                  <c:v>277.28</c:v>
                </c:pt>
                <c:pt idx="513">
                  <c:v>277.48</c:v>
                </c:pt>
                <c:pt idx="514">
                  <c:v>277.68</c:v>
                </c:pt>
                <c:pt idx="515">
                  <c:v>277.88</c:v>
                </c:pt>
                <c:pt idx="516">
                  <c:v>278.08</c:v>
                </c:pt>
                <c:pt idx="517">
                  <c:v>278.28</c:v>
                </c:pt>
                <c:pt idx="518">
                  <c:v>278.48</c:v>
                </c:pt>
                <c:pt idx="519">
                  <c:v>278.68</c:v>
                </c:pt>
                <c:pt idx="520">
                  <c:v>278.88</c:v>
                </c:pt>
                <c:pt idx="521">
                  <c:v>279.08</c:v>
                </c:pt>
                <c:pt idx="522">
                  <c:v>279.28</c:v>
                </c:pt>
                <c:pt idx="523">
                  <c:v>279.48</c:v>
                </c:pt>
                <c:pt idx="524">
                  <c:v>279.68</c:v>
                </c:pt>
                <c:pt idx="525">
                  <c:v>279.88</c:v>
                </c:pt>
                <c:pt idx="526">
                  <c:v>280.08</c:v>
                </c:pt>
                <c:pt idx="527">
                  <c:v>280.28</c:v>
                </c:pt>
                <c:pt idx="528">
                  <c:v>280.48</c:v>
                </c:pt>
                <c:pt idx="529">
                  <c:v>280.68</c:v>
                </c:pt>
                <c:pt idx="530">
                  <c:v>280.88</c:v>
                </c:pt>
                <c:pt idx="531">
                  <c:v>281.08</c:v>
                </c:pt>
                <c:pt idx="532">
                  <c:v>281.28</c:v>
                </c:pt>
                <c:pt idx="533">
                  <c:v>281.48</c:v>
                </c:pt>
                <c:pt idx="534">
                  <c:v>281.68</c:v>
                </c:pt>
                <c:pt idx="535">
                  <c:v>281.88</c:v>
                </c:pt>
                <c:pt idx="536">
                  <c:v>282.08</c:v>
                </c:pt>
                <c:pt idx="537">
                  <c:v>282.28</c:v>
                </c:pt>
                <c:pt idx="538">
                  <c:v>282.51</c:v>
                </c:pt>
                <c:pt idx="539">
                  <c:v>282.69</c:v>
                </c:pt>
                <c:pt idx="540">
                  <c:v>282.89</c:v>
                </c:pt>
                <c:pt idx="541">
                  <c:v>283.1</c:v>
                </c:pt>
                <c:pt idx="542">
                  <c:v>283.3</c:v>
                </c:pt>
                <c:pt idx="543">
                  <c:v>283.52</c:v>
                </c:pt>
                <c:pt idx="544">
                  <c:v>283.7</c:v>
                </c:pt>
                <c:pt idx="545">
                  <c:v>283.9</c:v>
                </c:pt>
                <c:pt idx="546">
                  <c:v>284.11</c:v>
                </c:pt>
                <c:pt idx="547">
                  <c:v>284.3</c:v>
                </c:pt>
                <c:pt idx="548">
                  <c:v>284.5</c:v>
                </c:pt>
                <c:pt idx="549">
                  <c:v>284.7</c:v>
                </c:pt>
                <c:pt idx="550">
                  <c:v>284.9</c:v>
                </c:pt>
                <c:pt idx="551">
                  <c:v>285.1</c:v>
                </c:pt>
                <c:pt idx="552">
                  <c:v>285.31</c:v>
                </c:pt>
                <c:pt idx="553">
                  <c:v>285.51</c:v>
                </c:pt>
                <c:pt idx="554">
                  <c:v>285.71</c:v>
                </c:pt>
                <c:pt idx="555">
                  <c:v>285.91</c:v>
                </c:pt>
                <c:pt idx="556">
                  <c:v>286.11</c:v>
                </c:pt>
                <c:pt idx="557">
                  <c:v>286.31</c:v>
                </c:pt>
                <c:pt idx="558">
                  <c:v>286.51</c:v>
                </c:pt>
                <c:pt idx="559">
                  <c:v>286.71</c:v>
                </c:pt>
                <c:pt idx="560">
                  <c:v>286.91</c:v>
                </c:pt>
                <c:pt idx="561">
                  <c:v>287.11</c:v>
                </c:pt>
                <c:pt idx="562">
                  <c:v>287.31</c:v>
                </c:pt>
                <c:pt idx="563">
                  <c:v>287.51</c:v>
                </c:pt>
                <c:pt idx="564">
                  <c:v>287.71</c:v>
                </c:pt>
                <c:pt idx="565">
                  <c:v>287.91</c:v>
                </c:pt>
                <c:pt idx="566">
                  <c:v>288.11</c:v>
                </c:pt>
                <c:pt idx="567">
                  <c:v>288.31</c:v>
                </c:pt>
                <c:pt idx="568">
                  <c:v>288.51</c:v>
                </c:pt>
                <c:pt idx="569">
                  <c:v>288.71</c:v>
                </c:pt>
                <c:pt idx="570">
                  <c:v>288.91</c:v>
                </c:pt>
                <c:pt idx="571">
                  <c:v>289.11</c:v>
                </c:pt>
                <c:pt idx="572">
                  <c:v>289.31</c:v>
                </c:pt>
                <c:pt idx="573">
                  <c:v>289.51</c:v>
                </c:pt>
                <c:pt idx="574">
                  <c:v>289.71</c:v>
                </c:pt>
                <c:pt idx="575">
                  <c:v>289.91</c:v>
                </c:pt>
                <c:pt idx="576">
                  <c:v>290.11</c:v>
                </c:pt>
                <c:pt idx="577">
                  <c:v>290.31</c:v>
                </c:pt>
                <c:pt idx="578">
                  <c:v>290.51</c:v>
                </c:pt>
                <c:pt idx="579">
                  <c:v>290.71</c:v>
                </c:pt>
                <c:pt idx="580">
                  <c:v>290.91</c:v>
                </c:pt>
                <c:pt idx="581">
                  <c:v>291.11</c:v>
                </c:pt>
                <c:pt idx="582">
                  <c:v>291.31</c:v>
                </c:pt>
                <c:pt idx="583">
                  <c:v>291.51</c:v>
                </c:pt>
                <c:pt idx="584">
                  <c:v>291.71</c:v>
                </c:pt>
                <c:pt idx="585">
                  <c:v>291.91</c:v>
                </c:pt>
                <c:pt idx="586">
                  <c:v>292.11</c:v>
                </c:pt>
                <c:pt idx="587">
                  <c:v>292.31</c:v>
                </c:pt>
                <c:pt idx="588">
                  <c:v>292.51</c:v>
                </c:pt>
                <c:pt idx="589">
                  <c:v>292.71</c:v>
                </c:pt>
                <c:pt idx="590">
                  <c:v>292.91</c:v>
                </c:pt>
                <c:pt idx="591">
                  <c:v>293.11</c:v>
                </c:pt>
                <c:pt idx="592">
                  <c:v>293.31</c:v>
                </c:pt>
                <c:pt idx="593">
                  <c:v>293.51</c:v>
                </c:pt>
                <c:pt idx="594">
                  <c:v>293.71</c:v>
                </c:pt>
                <c:pt idx="595">
                  <c:v>293.91</c:v>
                </c:pt>
                <c:pt idx="596">
                  <c:v>294.11</c:v>
                </c:pt>
                <c:pt idx="597">
                  <c:v>294.31</c:v>
                </c:pt>
                <c:pt idx="598">
                  <c:v>294.51</c:v>
                </c:pt>
                <c:pt idx="599">
                  <c:v>294.71</c:v>
                </c:pt>
                <c:pt idx="600">
                  <c:v>294.91</c:v>
                </c:pt>
                <c:pt idx="601">
                  <c:v>295.11</c:v>
                </c:pt>
                <c:pt idx="602">
                  <c:v>295.31</c:v>
                </c:pt>
              </c:numCache>
            </c:numRef>
          </c:xVal>
          <c:yVal>
            <c:numRef>
              <c:f>Data!$B$2:$B$604</c:f>
              <c:numCache>
                <c:formatCode>General</c:formatCode>
                <c:ptCount val="603"/>
                <c:pt idx="0">
                  <c:v>11.977</c:v>
                </c:pt>
                <c:pt idx="1">
                  <c:v>11.977</c:v>
                </c:pt>
                <c:pt idx="2">
                  <c:v>11.973</c:v>
                </c:pt>
                <c:pt idx="3">
                  <c:v>11.977</c:v>
                </c:pt>
                <c:pt idx="4">
                  <c:v>11.977</c:v>
                </c:pt>
                <c:pt idx="5">
                  <c:v>11.98</c:v>
                </c:pt>
                <c:pt idx="6">
                  <c:v>11.976</c:v>
                </c:pt>
                <c:pt idx="7">
                  <c:v>11.98</c:v>
                </c:pt>
                <c:pt idx="8">
                  <c:v>11.98</c:v>
                </c:pt>
                <c:pt idx="9">
                  <c:v>11.98</c:v>
                </c:pt>
                <c:pt idx="10">
                  <c:v>11.98</c:v>
                </c:pt>
                <c:pt idx="11">
                  <c:v>11.984</c:v>
                </c:pt>
                <c:pt idx="12">
                  <c:v>11.98</c:v>
                </c:pt>
                <c:pt idx="13">
                  <c:v>11.98</c:v>
                </c:pt>
                <c:pt idx="14">
                  <c:v>11.983</c:v>
                </c:pt>
                <c:pt idx="15">
                  <c:v>11.983</c:v>
                </c:pt>
                <c:pt idx="16">
                  <c:v>11.979</c:v>
                </c:pt>
                <c:pt idx="17">
                  <c:v>11.983</c:v>
                </c:pt>
                <c:pt idx="18">
                  <c:v>11.983</c:v>
                </c:pt>
                <c:pt idx="19">
                  <c:v>11.983</c:v>
                </c:pt>
                <c:pt idx="20">
                  <c:v>11.98</c:v>
                </c:pt>
                <c:pt idx="21">
                  <c:v>11.984</c:v>
                </c:pt>
                <c:pt idx="22">
                  <c:v>11.983</c:v>
                </c:pt>
                <c:pt idx="23">
                  <c:v>11.953</c:v>
                </c:pt>
                <c:pt idx="24">
                  <c:v>11.946</c:v>
                </c:pt>
                <c:pt idx="25">
                  <c:v>11.946</c:v>
                </c:pt>
                <c:pt idx="26">
                  <c:v>11.939</c:v>
                </c:pt>
                <c:pt idx="27">
                  <c:v>11.967</c:v>
                </c:pt>
                <c:pt idx="28">
                  <c:v>11.98</c:v>
                </c:pt>
                <c:pt idx="29">
                  <c:v>11.984</c:v>
                </c:pt>
                <c:pt idx="30">
                  <c:v>11.98</c:v>
                </c:pt>
                <c:pt idx="31">
                  <c:v>11.984</c:v>
                </c:pt>
                <c:pt idx="32">
                  <c:v>11.98</c:v>
                </c:pt>
                <c:pt idx="33">
                  <c:v>11.984</c:v>
                </c:pt>
                <c:pt idx="34">
                  <c:v>11.951</c:v>
                </c:pt>
                <c:pt idx="35">
                  <c:v>11.819</c:v>
                </c:pt>
                <c:pt idx="36">
                  <c:v>11.819</c:v>
                </c:pt>
                <c:pt idx="37">
                  <c:v>11.879</c:v>
                </c:pt>
                <c:pt idx="38">
                  <c:v>11.91</c:v>
                </c:pt>
                <c:pt idx="39">
                  <c:v>11.844</c:v>
                </c:pt>
                <c:pt idx="40">
                  <c:v>11.851</c:v>
                </c:pt>
                <c:pt idx="41">
                  <c:v>11.836</c:v>
                </c:pt>
                <c:pt idx="42">
                  <c:v>11.854</c:v>
                </c:pt>
                <c:pt idx="43">
                  <c:v>11.854</c:v>
                </c:pt>
                <c:pt idx="44">
                  <c:v>11.845</c:v>
                </c:pt>
                <c:pt idx="45">
                  <c:v>11.899</c:v>
                </c:pt>
                <c:pt idx="46">
                  <c:v>11.84</c:v>
                </c:pt>
                <c:pt idx="47">
                  <c:v>11.819</c:v>
                </c:pt>
                <c:pt idx="48">
                  <c:v>11.821</c:v>
                </c:pt>
                <c:pt idx="49">
                  <c:v>11.847</c:v>
                </c:pt>
                <c:pt idx="50">
                  <c:v>11.839</c:v>
                </c:pt>
                <c:pt idx="51">
                  <c:v>11.824</c:v>
                </c:pt>
                <c:pt idx="52">
                  <c:v>11.915</c:v>
                </c:pt>
                <c:pt idx="53">
                  <c:v>11.917</c:v>
                </c:pt>
                <c:pt idx="54">
                  <c:v>11.928</c:v>
                </c:pt>
                <c:pt idx="55">
                  <c:v>11.937</c:v>
                </c:pt>
                <c:pt idx="56">
                  <c:v>11.939</c:v>
                </c:pt>
                <c:pt idx="57">
                  <c:v>11.944</c:v>
                </c:pt>
                <c:pt idx="58">
                  <c:v>11.944</c:v>
                </c:pt>
                <c:pt idx="59">
                  <c:v>11.939</c:v>
                </c:pt>
                <c:pt idx="60">
                  <c:v>11.94</c:v>
                </c:pt>
                <c:pt idx="61">
                  <c:v>11.94</c:v>
                </c:pt>
                <c:pt idx="62">
                  <c:v>11.925</c:v>
                </c:pt>
                <c:pt idx="63">
                  <c:v>11.797</c:v>
                </c:pt>
                <c:pt idx="64">
                  <c:v>11.691</c:v>
                </c:pt>
                <c:pt idx="65">
                  <c:v>11.778</c:v>
                </c:pt>
                <c:pt idx="66">
                  <c:v>11.806</c:v>
                </c:pt>
                <c:pt idx="67">
                  <c:v>11.821</c:v>
                </c:pt>
                <c:pt idx="68">
                  <c:v>11.847</c:v>
                </c:pt>
                <c:pt idx="69">
                  <c:v>11.845</c:v>
                </c:pt>
                <c:pt idx="70">
                  <c:v>11.834</c:v>
                </c:pt>
                <c:pt idx="71">
                  <c:v>11.917</c:v>
                </c:pt>
                <c:pt idx="72">
                  <c:v>11.926</c:v>
                </c:pt>
                <c:pt idx="73">
                  <c:v>11.948</c:v>
                </c:pt>
                <c:pt idx="74">
                  <c:v>11.948</c:v>
                </c:pt>
                <c:pt idx="75">
                  <c:v>11.948</c:v>
                </c:pt>
                <c:pt idx="76">
                  <c:v>11.952</c:v>
                </c:pt>
                <c:pt idx="77">
                  <c:v>11.903</c:v>
                </c:pt>
                <c:pt idx="78">
                  <c:v>11.698</c:v>
                </c:pt>
                <c:pt idx="79">
                  <c:v>11.661</c:v>
                </c:pt>
                <c:pt idx="80">
                  <c:v>11.755</c:v>
                </c:pt>
                <c:pt idx="81">
                  <c:v>11.821</c:v>
                </c:pt>
                <c:pt idx="82">
                  <c:v>11.773</c:v>
                </c:pt>
                <c:pt idx="83">
                  <c:v>11.84</c:v>
                </c:pt>
                <c:pt idx="84">
                  <c:v>11.821</c:v>
                </c:pt>
                <c:pt idx="85">
                  <c:v>11.798</c:v>
                </c:pt>
                <c:pt idx="86">
                  <c:v>11.808</c:v>
                </c:pt>
                <c:pt idx="87">
                  <c:v>11.795</c:v>
                </c:pt>
                <c:pt idx="88">
                  <c:v>11.71</c:v>
                </c:pt>
                <c:pt idx="89">
                  <c:v>11.904</c:v>
                </c:pt>
                <c:pt idx="90">
                  <c:v>11.926</c:v>
                </c:pt>
                <c:pt idx="91">
                  <c:v>11.929</c:v>
                </c:pt>
                <c:pt idx="92">
                  <c:v>11.929</c:v>
                </c:pt>
                <c:pt idx="93">
                  <c:v>11.93</c:v>
                </c:pt>
                <c:pt idx="94">
                  <c:v>11.918</c:v>
                </c:pt>
                <c:pt idx="95">
                  <c:v>11.93</c:v>
                </c:pt>
                <c:pt idx="96">
                  <c:v>11.89</c:v>
                </c:pt>
                <c:pt idx="97">
                  <c:v>11.88</c:v>
                </c:pt>
                <c:pt idx="98">
                  <c:v>11.756</c:v>
                </c:pt>
                <c:pt idx="99">
                  <c:v>11.775</c:v>
                </c:pt>
                <c:pt idx="100">
                  <c:v>11.784</c:v>
                </c:pt>
                <c:pt idx="101">
                  <c:v>11.737</c:v>
                </c:pt>
                <c:pt idx="102">
                  <c:v>11.766</c:v>
                </c:pt>
                <c:pt idx="103">
                  <c:v>11.763</c:v>
                </c:pt>
                <c:pt idx="104">
                  <c:v>11.902</c:v>
                </c:pt>
                <c:pt idx="105">
                  <c:v>11.892</c:v>
                </c:pt>
                <c:pt idx="106">
                  <c:v>11.89</c:v>
                </c:pt>
                <c:pt idx="107">
                  <c:v>11.899</c:v>
                </c:pt>
                <c:pt idx="108">
                  <c:v>11.864</c:v>
                </c:pt>
                <c:pt idx="109">
                  <c:v>11.871</c:v>
                </c:pt>
                <c:pt idx="110">
                  <c:v>11.871</c:v>
                </c:pt>
                <c:pt idx="111">
                  <c:v>11.871</c:v>
                </c:pt>
                <c:pt idx="112">
                  <c:v>11.864</c:v>
                </c:pt>
                <c:pt idx="113">
                  <c:v>11.823</c:v>
                </c:pt>
                <c:pt idx="114">
                  <c:v>11.838</c:v>
                </c:pt>
                <c:pt idx="115">
                  <c:v>11.836</c:v>
                </c:pt>
                <c:pt idx="116">
                  <c:v>11.737</c:v>
                </c:pt>
                <c:pt idx="117">
                  <c:v>11.759</c:v>
                </c:pt>
                <c:pt idx="118">
                  <c:v>11.777</c:v>
                </c:pt>
                <c:pt idx="119">
                  <c:v>11.763</c:v>
                </c:pt>
                <c:pt idx="120">
                  <c:v>11.768</c:v>
                </c:pt>
                <c:pt idx="121">
                  <c:v>11.773</c:v>
                </c:pt>
                <c:pt idx="122">
                  <c:v>11.784</c:v>
                </c:pt>
                <c:pt idx="123">
                  <c:v>11.788</c:v>
                </c:pt>
                <c:pt idx="124">
                  <c:v>11.898</c:v>
                </c:pt>
                <c:pt idx="125">
                  <c:v>11.892</c:v>
                </c:pt>
                <c:pt idx="126">
                  <c:v>11.73</c:v>
                </c:pt>
                <c:pt idx="127">
                  <c:v>11.806</c:v>
                </c:pt>
                <c:pt idx="128">
                  <c:v>11.663</c:v>
                </c:pt>
                <c:pt idx="129">
                  <c:v>11.77</c:v>
                </c:pt>
                <c:pt idx="130">
                  <c:v>11.805</c:v>
                </c:pt>
                <c:pt idx="131">
                  <c:v>11.781</c:v>
                </c:pt>
                <c:pt idx="132">
                  <c:v>11.904</c:v>
                </c:pt>
                <c:pt idx="133">
                  <c:v>11.922</c:v>
                </c:pt>
                <c:pt idx="134">
                  <c:v>11.923</c:v>
                </c:pt>
                <c:pt idx="135">
                  <c:v>11.926</c:v>
                </c:pt>
                <c:pt idx="136">
                  <c:v>11.926</c:v>
                </c:pt>
                <c:pt idx="137">
                  <c:v>11.918</c:v>
                </c:pt>
                <c:pt idx="138">
                  <c:v>11.926</c:v>
                </c:pt>
                <c:pt idx="139">
                  <c:v>11.926</c:v>
                </c:pt>
                <c:pt idx="140">
                  <c:v>11.926</c:v>
                </c:pt>
                <c:pt idx="141">
                  <c:v>11.929</c:v>
                </c:pt>
                <c:pt idx="142">
                  <c:v>11.933</c:v>
                </c:pt>
                <c:pt idx="143">
                  <c:v>11.929</c:v>
                </c:pt>
                <c:pt idx="144">
                  <c:v>11.928</c:v>
                </c:pt>
                <c:pt idx="145">
                  <c:v>11.932</c:v>
                </c:pt>
                <c:pt idx="146">
                  <c:v>11.936</c:v>
                </c:pt>
                <c:pt idx="147">
                  <c:v>11.935</c:v>
                </c:pt>
                <c:pt idx="148">
                  <c:v>11.935</c:v>
                </c:pt>
                <c:pt idx="149">
                  <c:v>11.939</c:v>
                </c:pt>
                <c:pt idx="150">
                  <c:v>11.939</c:v>
                </c:pt>
                <c:pt idx="151">
                  <c:v>11.935</c:v>
                </c:pt>
                <c:pt idx="152">
                  <c:v>11.935</c:v>
                </c:pt>
                <c:pt idx="153">
                  <c:v>11.935</c:v>
                </c:pt>
                <c:pt idx="154">
                  <c:v>11.939</c:v>
                </c:pt>
                <c:pt idx="155">
                  <c:v>11.935</c:v>
                </c:pt>
                <c:pt idx="156">
                  <c:v>11.932</c:v>
                </c:pt>
                <c:pt idx="157">
                  <c:v>11.936</c:v>
                </c:pt>
                <c:pt idx="158">
                  <c:v>11.932</c:v>
                </c:pt>
                <c:pt idx="159">
                  <c:v>11.924</c:v>
                </c:pt>
                <c:pt idx="160">
                  <c:v>11.932</c:v>
                </c:pt>
                <c:pt idx="161">
                  <c:v>11.936</c:v>
                </c:pt>
                <c:pt idx="162">
                  <c:v>11.936</c:v>
                </c:pt>
                <c:pt idx="163">
                  <c:v>11.936</c:v>
                </c:pt>
                <c:pt idx="164">
                  <c:v>11.936</c:v>
                </c:pt>
                <c:pt idx="165">
                  <c:v>11.94</c:v>
                </c:pt>
                <c:pt idx="166">
                  <c:v>11.939</c:v>
                </c:pt>
                <c:pt idx="167">
                  <c:v>11.942</c:v>
                </c:pt>
                <c:pt idx="168">
                  <c:v>11.949</c:v>
                </c:pt>
                <c:pt idx="169">
                  <c:v>11.945</c:v>
                </c:pt>
                <c:pt idx="170">
                  <c:v>11.951</c:v>
                </c:pt>
                <c:pt idx="171">
                  <c:v>11.95</c:v>
                </c:pt>
                <c:pt idx="172">
                  <c:v>11.951</c:v>
                </c:pt>
                <c:pt idx="173">
                  <c:v>11.957</c:v>
                </c:pt>
                <c:pt idx="174">
                  <c:v>11.964</c:v>
                </c:pt>
                <c:pt idx="175">
                  <c:v>11.964</c:v>
                </c:pt>
                <c:pt idx="176">
                  <c:v>11.961</c:v>
                </c:pt>
                <c:pt idx="177">
                  <c:v>11.961</c:v>
                </c:pt>
                <c:pt idx="178">
                  <c:v>11.954</c:v>
                </c:pt>
                <c:pt idx="179">
                  <c:v>11.961</c:v>
                </c:pt>
                <c:pt idx="180">
                  <c:v>11.95</c:v>
                </c:pt>
                <c:pt idx="181">
                  <c:v>11.967</c:v>
                </c:pt>
                <c:pt idx="182">
                  <c:v>11.971</c:v>
                </c:pt>
                <c:pt idx="183">
                  <c:v>11.97</c:v>
                </c:pt>
                <c:pt idx="184">
                  <c:v>11.974</c:v>
                </c:pt>
                <c:pt idx="185">
                  <c:v>11.97</c:v>
                </c:pt>
                <c:pt idx="186">
                  <c:v>11.97</c:v>
                </c:pt>
                <c:pt idx="187">
                  <c:v>11.97</c:v>
                </c:pt>
                <c:pt idx="188">
                  <c:v>11.957</c:v>
                </c:pt>
                <c:pt idx="189">
                  <c:v>11.964</c:v>
                </c:pt>
                <c:pt idx="190">
                  <c:v>11.96</c:v>
                </c:pt>
                <c:pt idx="191">
                  <c:v>11.968</c:v>
                </c:pt>
                <c:pt idx="192">
                  <c:v>11.964</c:v>
                </c:pt>
                <c:pt idx="193">
                  <c:v>11.961</c:v>
                </c:pt>
                <c:pt idx="194">
                  <c:v>11.961</c:v>
                </c:pt>
                <c:pt idx="195">
                  <c:v>11.836</c:v>
                </c:pt>
                <c:pt idx="196">
                  <c:v>11.964</c:v>
                </c:pt>
                <c:pt idx="197">
                  <c:v>11.964</c:v>
                </c:pt>
                <c:pt idx="198">
                  <c:v>11.968</c:v>
                </c:pt>
                <c:pt idx="199">
                  <c:v>11.964</c:v>
                </c:pt>
                <c:pt idx="200">
                  <c:v>11.964</c:v>
                </c:pt>
                <c:pt idx="201">
                  <c:v>11.964</c:v>
                </c:pt>
                <c:pt idx="202">
                  <c:v>11.964</c:v>
                </c:pt>
                <c:pt idx="203">
                  <c:v>11.968</c:v>
                </c:pt>
                <c:pt idx="204">
                  <c:v>11.968</c:v>
                </c:pt>
                <c:pt idx="205">
                  <c:v>11.968</c:v>
                </c:pt>
                <c:pt idx="206">
                  <c:v>11.964</c:v>
                </c:pt>
                <c:pt idx="207">
                  <c:v>11.968</c:v>
                </c:pt>
                <c:pt idx="208">
                  <c:v>11.968</c:v>
                </c:pt>
                <c:pt idx="209">
                  <c:v>11.967</c:v>
                </c:pt>
                <c:pt idx="210">
                  <c:v>11.968</c:v>
                </c:pt>
                <c:pt idx="211">
                  <c:v>11.967</c:v>
                </c:pt>
                <c:pt idx="212">
                  <c:v>11.963</c:v>
                </c:pt>
                <c:pt idx="213">
                  <c:v>11.968</c:v>
                </c:pt>
                <c:pt idx="214">
                  <c:v>11.954</c:v>
                </c:pt>
                <c:pt idx="215">
                  <c:v>11.967</c:v>
                </c:pt>
                <c:pt idx="216">
                  <c:v>11.967</c:v>
                </c:pt>
                <c:pt idx="217">
                  <c:v>11.971</c:v>
                </c:pt>
                <c:pt idx="218">
                  <c:v>11.967</c:v>
                </c:pt>
                <c:pt idx="219">
                  <c:v>11.967</c:v>
                </c:pt>
                <c:pt idx="220">
                  <c:v>11.971</c:v>
                </c:pt>
                <c:pt idx="221">
                  <c:v>11.971</c:v>
                </c:pt>
                <c:pt idx="222">
                  <c:v>11.967</c:v>
                </c:pt>
                <c:pt idx="223">
                  <c:v>11.848</c:v>
                </c:pt>
                <c:pt idx="224">
                  <c:v>11.876</c:v>
                </c:pt>
                <c:pt idx="225">
                  <c:v>11.871</c:v>
                </c:pt>
                <c:pt idx="226">
                  <c:v>11.714</c:v>
                </c:pt>
                <c:pt idx="227">
                  <c:v>11.816</c:v>
                </c:pt>
                <c:pt idx="228">
                  <c:v>11.835</c:v>
                </c:pt>
                <c:pt idx="229">
                  <c:v>11.832</c:v>
                </c:pt>
                <c:pt idx="230">
                  <c:v>11.825</c:v>
                </c:pt>
                <c:pt idx="231">
                  <c:v>11.82</c:v>
                </c:pt>
                <c:pt idx="232">
                  <c:v>11.817</c:v>
                </c:pt>
                <c:pt idx="233">
                  <c:v>11.806</c:v>
                </c:pt>
                <c:pt idx="234">
                  <c:v>11.81</c:v>
                </c:pt>
                <c:pt idx="235">
                  <c:v>11.897</c:v>
                </c:pt>
                <c:pt idx="236">
                  <c:v>11.917</c:v>
                </c:pt>
                <c:pt idx="237">
                  <c:v>11.924</c:v>
                </c:pt>
                <c:pt idx="238">
                  <c:v>11.93</c:v>
                </c:pt>
                <c:pt idx="239">
                  <c:v>11.955</c:v>
                </c:pt>
                <c:pt idx="240">
                  <c:v>11.955</c:v>
                </c:pt>
                <c:pt idx="241">
                  <c:v>11.952</c:v>
                </c:pt>
                <c:pt idx="242">
                  <c:v>11.921</c:v>
                </c:pt>
                <c:pt idx="243">
                  <c:v>11.55</c:v>
                </c:pt>
                <c:pt idx="244">
                  <c:v>11.77</c:v>
                </c:pt>
                <c:pt idx="245">
                  <c:v>11.783</c:v>
                </c:pt>
                <c:pt idx="246">
                  <c:v>11.813</c:v>
                </c:pt>
                <c:pt idx="247">
                  <c:v>11.811</c:v>
                </c:pt>
                <c:pt idx="248">
                  <c:v>11.796</c:v>
                </c:pt>
                <c:pt idx="249">
                  <c:v>11.804</c:v>
                </c:pt>
                <c:pt idx="250">
                  <c:v>11.911</c:v>
                </c:pt>
                <c:pt idx="251">
                  <c:v>11.934</c:v>
                </c:pt>
                <c:pt idx="252">
                  <c:v>11.932</c:v>
                </c:pt>
                <c:pt idx="253">
                  <c:v>11.932</c:v>
                </c:pt>
                <c:pt idx="254">
                  <c:v>11.933</c:v>
                </c:pt>
                <c:pt idx="255">
                  <c:v>11.526</c:v>
                </c:pt>
                <c:pt idx="256">
                  <c:v>11.692</c:v>
                </c:pt>
                <c:pt idx="257">
                  <c:v>11.762</c:v>
                </c:pt>
                <c:pt idx="258">
                  <c:v>11.793</c:v>
                </c:pt>
                <c:pt idx="259">
                  <c:v>11.788</c:v>
                </c:pt>
                <c:pt idx="260">
                  <c:v>11.765</c:v>
                </c:pt>
                <c:pt idx="261">
                  <c:v>11.772</c:v>
                </c:pt>
                <c:pt idx="262">
                  <c:v>11.878</c:v>
                </c:pt>
                <c:pt idx="263">
                  <c:v>11.889</c:v>
                </c:pt>
                <c:pt idx="264">
                  <c:v>11.911</c:v>
                </c:pt>
                <c:pt idx="265">
                  <c:v>11.911</c:v>
                </c:pt>
                <c:pt idx="266">
                  <c:v>11.909</c:v>
                </c:pt>
                <c:pt idx="267">
                  <c:v>11.899</c:v>
                </c:pt>
                <c:pt idx="268">
                  <c:v>11.911</c:v>
                </c:pt>
                <c:pt idx="269">
                  <c:v>11.911</c:v>
                </c:pt>
                <c:pt idx="270">
                  <c:v>11.714</c:v>
                </c:pt>
                <c:pt idx="271">
                  <c:v>11.616</c:v>
                </c:pt>
                <c:pt idx="272">
                  <c:v>11.736</c:v>
                </c:pt>
                <c:pt idx="273">
                  <c:v>11.776</c:v>
                </c:pt>
                <c:pt idx="274">
                  <c:v>11.781</c:v>
                </c:pt>
                <c:pt idx="275">
                  <c:v>11.763</c:v>
                </c:pt>
                <c:pt idx="276">
                  <c:v>11.754</c:v>
                </c:pt>
                <c:pt idx="277">
                  <c:v>11.842</c:v>
                </c:pt>
                <c:pt idx="278">
                  <c:v>11.851</c:v>
                </c:pt>
                <c:pt idx="279">
                  <c:v>11.86</c:v>
                </c:pt>
                <c:pt idx="280">
                  <c:v>11.867</c:v>
                </c:pt>
                <c:pt idx="281">
                  <c:v>11.861</c:v>
                </c:pt>
                <c:pt idx="282">
                  <c:v>11.851</c:v>
                </c:pt>
                <c:pt idx="283">
                  <c:v>11.852</c:v>
                </c:pt>
                <c:pt idx="284">
                  <c:v>11.842</c:v>
                </c:pt>
                <c:pt idx="285">
                  <c:v>11.846</c:v>
                </c:pt>
                <c:pt idx="286">
                  <c:v>11.841</c:v>
                </c:pt>
                <c:pt idx="287">
                  <c:v>11.842</c:v>
                </c:pt>
                <c:pt idx="288">
                  <c:v>11.839</c:v>
                </c:pt>
                <c:pt idx="289">
                  <c:v>11.836</c:v>
                </c:pt>
                <c:pt idx="290">
                  <c:v>11.842</c:v>
                </c:pt>
                <c:pt idx="291">
                  <c:v>11.852</c:v>
                </c:pt>
                <c:pt idx="292">
                  <c:v>11.848</c:v>
                </c:pt>
                <c:pt idx="293">
                  <c:v>11.845</c:v>
                </c:pt>
                <c:pt idx="294">
                  <c:v>11.843</c:v>
                </c:pt>
                <c:pt idx="295">
                  <c:v>11.842</c:v>
                </c:pt>
                <c:pt idx="296">
                  <c:v>11.855</c:v>
                </c:pt>
                <c:pt idx="297">
                  <c:v>11.861</c:v>
                </c:pt>
                <c:pt idx="298">
                  <c:v>11.855</c:v>
                </c:pt>
                <c:pt idx="299">
                  <c:v>11.853</c:v>
                </c:pt>
                <c:pt idx="300">
                  <c:v>11.837</c:v>
                </c:pt>
                <c:pt idx="301">
                  <c:v>11.818</c:v>
                </c:pt>
                <c:pt idx="302">
                  <c:v>11.818</c:v>
                </c:pt>
                <c:pt idx="303">
                  <c:v>11.815</c:v>
                </c:pt>
                <c:pt idx="304">
                  <c:v>11.815</c:v>
                </c:pt>
                <c:pt idx="305">
                  <c:v>11.818</c:v>
                </c:pt>
                <c:pt idx="306">
                  <c:v>11.818</c:v>
                </c:pt>
                <c:pt idx="307">
                  <c:v>11.818</c:v>
                </c:pt>
                <c:pt idx="308">
                  <c:v>11.818</c:v>
                </c:pt>
                <c:pt idx="309">
                  <c:v>11.814</c:v>
                </c:pt>
                <c:pt idx="310">
                  <c:v>11.809</c:v>
                </c:pt>
                <c:pt idx="311">
                  <c:v>11.821</c:v>
                </c:pt>
                <c:pt idx="312">
                  <c:v>11.817</c:v>
                </c:pt>
                <c:pt idx="313">
                  <c:v>11.818</c:v>
                </c:pt>
                <c:pt idx="314">
                  <c:v>11.818</c:v>
                </c:pt>
                <c:pt idx="315">
                  <c:v>11.815</c:v>
                </c:pt>
                <c:pt idx="316">
                  <c:v>11.811</c:v>
                </c:pt>
                <c:pt idx="317">
                  <c:v>11.819</c:v>
                </c:pt>
                <c:pt idx="318">
                  <c:v>11.811</c:v>
                </c:pt>
                <c:pt idx="319">
                  <c:v>11.811</c:v>
                </c:pt>
                <c:pt idx="320">
                  <c:v>11.814</c:v>
                </c:pt>
                <c:pt idx="321">
                  <c:v>11.814</c:v>
                </c:pt>
                <c:pt idx="322">
                  <c:v>11.814</c:v>
                </c:pt>
                <c:pt idx="323">
                  <c:v>11.814</c:v>
                </c:pt>
                <c:pt idx="324">
                  <c:v>11.814</c:v>
                </c:pt>
                <c:pt idx="325">
                  <c:v>11.814</c:v>
                </c:pt>
                <c:pt idx="326">
                  <c:v>11.814</c:v>
                </c:pt>
                <c:pt idx="327">
                  <c:v>11.814</c:v>
                </c:pt>
                <c:pt idx="328">
                  <c:v>11.818</c:v>
                </c:pt>
                <c:pt idx="329">
                  <c:v>11.814</c:v>
                </c:pt>
                <c:pt idx="330">
                  <c:v>11.814</c:v>
                </c:pt>
                <c:pt idx="331">
                  <c:v>11.797</c:v>
                </c:pt>
                <c:pt idx="332">
                  <c:v>11.814</c:v>
                </c:pt>
                <c:pt idx="333">
                  <c:v>11.818</c:v>
                </c:pt>
                <c:pt idx="334">
                  <c:v>11.806</c:v>
                </c:pt>
                <c:pt idx="335">
                  <c:v>11.814</c:v>
                </c:pt>
                <c:pt idx="336">
                  <c:v>11.818</c:v>
                </c:pt>
                <c:pt idx="337">
                  <c:v>11.814</c:v>
                </c:pt>
                <c:pt idx="338">
                  <c:v>11.818</c:v>
                </c:pt>
                <c:pt idx="339">
                  <c:v>11.818</c:v>
                </c:pt>
                <c:pt idx="340">
                  <c:v>11.814</c:v>
                </c:pt>
                <c:pt idx="341">
                  <c:v>11.814</c:v>
                </c:pt>
                <c:pt idx="342">
                  <c:v>11.818</c:v>
                </c:pt>
                <c:pt idx="343">
                  <c:v>11.814</c:v>
                </c:pt>
                <c:pt idx="344">
                  <c:v>11.814</c:v>
                </c:pt>
                <c:pt idx="345">
                  <c:v>11.814</c:v>
                </c:pt>
                <c:pt idx="346">
                  <c:v>11.814</c:v>
                </c:pt>
                <c:pt idx="347">
                  <c:v>11.814</c:v>
                </c:pt>
                <c:pt idx="348">
                  <c:v>11.814</c:v>
                </c:pt>
                <c:pt idx="349">
                  <c:v>11.814</c:v>
                </c:pt>
                <c:pt idx="350">
                  <c:v>11.814</c:v>
                </c:pt>
                <c:pt idx="351">
                  <c:v>11.814</c:v>
                </c:pt>
                <c:pt idx="352">
                  <c:v>11.814</c:v>
                </c:pt>
                <c:pt idx="353">
                  <c:v>11.814</c:v>
                </c:pt>
                <c:pt idx="354">
                  <c:v>11.814</c:v>
                </c:pt>
                <c:pt idx="355">
                  <c:v>11.814</c:v>
                </c:pt>
                <c:pt idx="356">
                  <c:v>11.814</c:v>
                </c:pt>
                <c:pt idx="357">
                  <c:v>11.813</c:v>
                </c:pt>
                <c:pt idx="358">
                  <c:v>11.814</c:v>
                </c:pt>
                <c:pt idx="359">
                  <c:v>11.814</c:v>
                </c:pt>
                <c:pt idx="360">
                  <c:v>11.814</c:v>
                </c:pt>
                <c:pt idx="361">
                  <c:v>11.814</c:v>
                </c:pt>
                <c:pt idx="362">
                  <c:v>11.814</c:v>
                </c:pt>
                <c:pt idx="363">
                  <c:v>11.814</c:v>
                </c:pt>
                <c:pt idx="364">
                  <c:v>11.814</c:v>
                </c:pt>
                <c:pt idx="365">
                  <c:v>11.814</c:v>
                </c:pt>
                <c:pt idx="366">
                  <c:v>11.814</c:v>
                </c:pt>
                <c:pt idx="367">
                  <c:v>11.814</c:v>
                </c:pt>
                <c:pt idx="368">
                  <c:v>11.814</c:v>
                </c:pt>
                <c:pt idx="369">
                  <c:v>11.81</c:v>
                </c:pt>
                <c:pt idx="370">
                  <c:v>11.818</c:v>
                </c:pt>
                <c:pt idx="371">
                  <c:v>11.814</c:v>
                </c:pt>
                <c:pt idx="372">
                  <c:v>11.818</c:v>
                </c:pt>
                <c:pt idx="373">
                  <c:v>11.814</c:v>
                </c:pt>
                <c:pt idx="374">
                  <c:v>11.809</c:v>
                </c:pt>
                <c:pt idx="375">
                  <c:v>11.814</c:v>
                </c:pt>
                <c:pt idx="376">
                  <c:v>11.814</c:v>
                </c:pt>
                <c:pt idx="377">
                  <c:v>11.814</c:v>
                </c:pt>
                <c:pt idx="378">
                  <c:v>11.814</c:v>
                </c:pt>
                <c:pt idx="379">
                  <c:v>11.81</c:v>
                </c:pt>
                <c:pt idx="380">
                  <c:v>11.81</c:v>
                </c:pt>
                <c:pt idx="381">
                  <c:v>11.809</c:v>
                </c:pt>
                <c:pt idx="382">
                  <c:v>11.81</c:v>
                </c:pt>
                <c:pt idx="383">
                  <c:v>11.814</c:v>
                </c:pt>
                <c:pt idx="384">
                  <c:v>11.814</c:v>
                </c:pt>
                <c:pt idx="385">
                  <c:v>11.814</c:v>
                </c:pt>
                <c:pt idx="386">
                  <c:v>11.814</c:v>
                </c:pt>
                <c:pt idx="387">
                  <c:v>11.814</c:v>
                </c:pt>
                <c:pt idx="388">
                  <c:v>11.81</c:v>
                </c:pt>
                <c:pt idx="389">
                  <c:v>11.81</c:v>
                </c:pt>
                <c:pt idx="390">
                  <c:v>11.81</c:v>
                </c:pt>
                <c:pt idx="391">
                  <c:v>11.81</c:v>
                </c:pt>
                <c:pt idx="392">
                  <c:v>11.814</c:v>
                </c:pt>
                <c:pt idx="393">
                  <c:v>11.81</c:v>
                </c:pt>
                <c:pt idx="394">
                  <c:v>11.81</c:v>
                </c:pt>
                <c:pt idx="395">
                  <c:v>11.81</c:v>
                </c:pt>
                <c:pt idx="396">
                  <c:v>11.81</c:v>
                </c:pt>
                <c:pt idx="397">
                  <c:v>11.814</c:v>
                </c:pt>
                <c:pt idx="398">
                  <c:v>11.814</c:v>
                </c:pt>
                <c:pt idx="399">
                  <c:v>11.814</c:v>
                </c:pt>
                <c:pt idx="400">
                  <c:v>11.81</c:v>
                </c:pt>
                <c:pt idx="401">
                  <c:v>11.814</c:v>
                </c:pt>
                <c:pt idx="402">
                  <c:v>11.814</c:v>
                </c:pt>
                <c:pt idx="403">
                  <c:v>11.814</c:v>
                </c:pt>
                <c:pt idx="404">
                  <c:v>11.814</c:v>
                </c:pt>
                <c:pt idx="405">
                  <c:v>11.81</c:v>
                </c:pt>
                <c:pt idx="406">
                  <c:v>11.81</c:v>
                </c:pt>
                <c:pt idx="407">
                  <c:v>11.814</c:v>
                </c:pt>
                <c:pt idx="408">
                  <c:v>11.81</c:v>
                </c:pt>
                <c:pt idx="409">
                  <c:v>11.81</c:v>
                </c:pt>
                <c:pt idx="410">
                  <c:v>11.809</c:v>
                </c:pt>
                <c:pt idx="411">
                  <c:v>11.809</c:v>
                </c:pt>
                <c:pt idx="412">
                  <c:v>11.809</c:v>
                </c:pt>
                <c:pt idx="413">
                  <c:v>11.806</c:v>
                </c:pt>
                <c:pt idx="414">
                  <c:v>11.81</c:v>
                </c:pt>
                <c:pt idx="415">
                  <c:v>11.814</c:v>
                </c:pt>
                <c:pt idx="416">
                  <c:v>11.814</c:v>
                </c:pt>
                <c:pt idx="417">
                  <c:v>11.794</c:v>
                </c:pt>
                <c:pt idx="418">
                  <c:v>11.81</c:v>
                </c:pt>
                <c:pt idx="419">
                  <c:v>11.81</c:v>
                </c:pt>
                <c:pt idx="420">
                  <c:v>11.81</c:v>
                </c:pt>
                <c:pt idx="421">
                  <c:v>11.81</c:v>
                </c:pt>
                <c:pt idx="422">
                  <c:v>11.81</c:v>
                </c:pt>
                <c:pt idx="423">
                  <c:v>11.81</c:v>
                </c:pt>
                <c:pt idx="424">
                  <c:v>11.814</c:v>
                </c:pt>
                <c:pt idx="425">
                  <c:v>11.81</c:v>
                </c:pt>
                <c:pt idx="426">
                  <c:v>11.814</c:v>
                </c:pt>
                <c:pt idx="427">
                  <c:v>11.81</c:v>
                </c:pt>
                <c:pt idx="428">
                  <c:v>11.814</c:v>
                </c:pt>
                <c:pt idx="429">
                  <c:v>11.81</c:v>
                </c:pt>
                <c:pt idx="430">
                  <c:v>11.81</c:v>
                </c:pt>
                <c:pt idx="431">
                  <c:v>11.81</c:v>
                </c:pt>
                <c:pt idx="432">
                  <c:v>11.81</c:v>
                </c:pt>
                <c:pt idx="433">
                  <c:v>11.81</c:v>
                </c:pt>
                <c:pt idx="434">
                  <c:v>11.81</c:v>
                </c:pt>
                <c:pt idx="435">
                  <c:v>11.81</c:v>
                </c:pt>
                <c:pt idx="436">
                  <c:v>11.814</c:v>
                </c:pt>
                <c:pt idx="437">
                  <c:v>11.814</c:v>
                </c:pt>
                <c:pt idx="438">
                  <c:v>11.81</c:v>
                </c:pt>
                <c:pt idx="439">
                  <c:v>11.801</c:v>
                </c:pt>
                <c:pt idx="440">
                  <c:v>11.81</c:v>
                </c:pt>
                <c:pt idx="441">
                  <c:v>11.81</c:v>
                </c:pt>
                <c:pt idx="442">
                  <c:v>11.746</c:v>
                </c:pt>
                <c:pt idx="443">
                  <c:v>11.722</c:v>
                </c:pt>
                <c:pt idx="444">
                  <c:v>11.699</c:v>
                </c:pt>
                <c:pt idx="445">
                  <c:v>11.657</c:v>
                </c:pt>
                <c:pt idx="446">
                  <c:v>11.597</c:v>
                </c:pt>
                <c:pt idx="447">
                  <c:v>11.642</c:v>
                </c:pt>
                <c:pt idx="448">
                  <c:v>11.69</c:v>
                </c:pt>
                <c:pt idx="449">
                  <c:v>11.697</c:v>
                </c:pt>
                <c:pt idx="450">
                  <c:v>11.662</c:v>
                </c:pt>
                <c:pt idx="451">
                  <c:v>11.662</c:v>
                </c:pt>
                <c:pt idx="452">
                  <c:v>11.675</c:v>
                </c:pt>
                <c:pt idx="453">
                  <c:v>11.676</c:v>
                </c:pt>
                <c:pt idx="454">
                  <c:v>11.679</c:v>
                </c:pt>
                <c:pt idx="455">
                  <c:v>11.784</c:v>
                </c:pt>
                <c:pt idx="456">
                  <c:v>11.723</c:v>
                </c:pt>
                <c:pt idx="457">
                  <c:v>11.682</c:v>
                </c:pt>
                <c:pt idx="458">
                  <c:v>11.713</c:v>
                </c:pt>
                <c:pt idx="459">
                  <c:v>11.696</c:v>
                </c:pt>
                <c:pt idx="460">
                  <c:v>11.671</c:v>
                </c:pt>
                <c:pt idx="461">
                  <c:v>11.697</c:v>
                </c:pt>
                <c:pt idx="462">
                  <c:v>11.697</c:v>
                </c:pt>
                <c:pt idx="463">
                  <c:v>11.683</c:v>
                </c:pt>
                <c:pt idx="464">
                  <c:v>11.688</c:v>
                </c:pt>
                <c:pt idx="465">
                  <c:v>11.707</c:v>
                </c:pt>
                <c:pt idx="466">
                  <c:v>11.664</c:v>
                </c:pt>
                <c:pt idx="467">
                  <c:v>11.641</c:v>
                </c:pt>
                <c:pt idx="468">
                  <c:v>11.666</c:v>
                </c:pt>
                <c:pt idx="469">
                  <c:v>11.649</c:v>
                </c:pt>
                <c:pt idx="470">
                  <c:v>11.643</c:v>
                </c:pt>
                <c:pt idx="471">
                  <c:v>11.641</c:v>
                </c:pt>
                <c:pt idx="472">
                  <c:v>11.646</c:v>
                </c:pt>
                <c:pt idx="473">
                  <c:v>11.634</c:v>
                </c:pt>
                <c:pt idx="474">
                  <c:v>11.645</c:v>
                </c:pt>
                <c:pt idx="475">
                  <c:v>11.658</c:v>
                </c:pt>
                <c:pt idx="476">
                  <c:v>11.652</c:v>
                </c:pt>
                <c:pt idx="477">
                  <c:v>11.646</c:v>
                </c:pt>
                <c:pt idx="478">
                  <c:v>11.648</c:v>
                </c:pt>
                <c:pt idx="479">
                  <c:v>11.65</c:v>
                </c:pt>
                <c:pt idx="480">
                  <c:v>11.652</c:v>
                </c:pt>
                <c:pt idx="481">
                  <c:v>11.634</c:v>
                </c:pt>
                <c:pt idx="482">
                  <c:v>11.637</c:v>
                </c:pt>
                <c:pt idx="483">
                  <c:v>11.526</c:v>
                </c:pt>
                <c:pt idx="484">
                  <c:v>11.633</c:v>
                </c:pt>
                <c:pt idx="485">
                  <c:v>11.706</c:v>
                </c:pt>
                <c:pt idx="486">
                  <c:v>11.655</c:v>
                </c:pt>
                <c:pt idx="487">
                  <c:v>11.65</c:v>
                </c:pt>
                <c:pt idx="488">
                  <c:v>11.657</c:v>
                </c:pt>
                <c:pt idx="489">
                  <c:v>11.641</c:v>
                </c:pt>
                <c:pt idx="490">
                  <c:v>11.631</c:v>
                </c:pt>
                <c:pt idx="491">
                  <c:v>11.663</c:v>
                </c:pt>
                <c:pt idx="492">
                  <c:v>11.666</c:v>
                </c:pt>
                <c:pt idx="493">
                  <c:v>11.685</c:v>
                </c:pt>
                <c:pt idx="494">
                  <c:v>11.647</c:v>
                </c:pt>
                <c:pt idx="495">
                  <c:v>11.654</c:v>
                </c:pt>
                <c:pt idx="496">
                  <c:v>11.678</c:v>
                </c:pt>
                <c:pt idx="497">
                  <c:v>11.69</c:v>
                </c:pt>
                <c:pt idx="498">
                  <c:v>11.748</c:v>
                </c:pt>
                <c:pt idx="499">
                  <c:v>11.67</c:v>
                </c:pt>
                <c:pt idx="500">
                  <c:v>11.768</c:v>
                </c:pt>
                <c:pt idx="501">
                  <c:v>11.803</c:v>
                </c:pt>
                <c:pt idx="502">
                  <c:v>11.8</c:v>
                </c:pt>
                <c:pt idx="503">
                  <c:v>11.81</c:v>
                </c:pt>
                <c:pt idx="504">
                  <c:v>11.814</c:v>
                </c:pt>
                <c:pt idx="505">
                  <c:v>11.647</c:v>
                </c:pt>
                <c:pt idx="506">
                  <c:v>11.51</c:v>
                </c:pt>
                <c:pt idx="507">
                  <c:v>11.65</c:v>
                </c:pt>
                <c:pt idx="508">
                  <c:v>11.661</c:v>
                </c:pt>
                <c:pt idx="509">
                  <c:v>11.716</c:v>
                </c:pt>
                <c:pt idx="510">
                  <c:v>11.64</c:v>
                </c:pt>
                <c:pt idx="511">
                  <c:v>11.662</c:v>
                </c:pt>
                <c:pt idx="512">
                  <c:v>11.649</c:v>
                </c:pt>
                <c:pt idx="513">
                  <c:v>11.672</c:v>
                </c:pt>
                <c:pt idx="514">
                  <c:v>11.677</c:v>
                </c:pt>
                <c:pt idx="515">
                  <c:v>11.692</c:v>
                </c:pt>
                <c:pt idx="516">
                  <c:v>11.682</c:v>
                </c:pt>
                <c:pt idx="517">
                  <c:v>11.681</c:v>
                </c:pt>
                <c:pt idx="518">
                  <c:v>11.668</c:v>
                </c:pt>
                <c:pt idx="519">
                  <c:v>11.766</c:v>
                </c:pt>
                <c:pt idx="520">
                  <c:v>11.797</c:v>
                </c:pt>
                <c:pt idx="521">
                  <c:v>11.798</c:v>
                </c:pt>
                <c:pt idx="522">
                  <c:v>11.797</c:v>
                </c:pt>
                <c:pt idx="523">
                  <c:v>11.801</c:v>
                </c:pt>
                <c:pt idx="524">
                  <c:v>11.797</c:v>
                </c:pt>
                <c:pt idx="525">
                  <c:v>11.553</c:v>
                </c:pt>
                <c:pt idx="526">
                  <c:v>11.489</c:v>
                </c:pt>
                <c:pt idx="527">
                  <c:v>11.626</c:v>
                </c:pt>
                <c:pt idx="528">
                  <c:v>11.644</c:v>
                </c:pt>
                <c:pt idx="529">
                  <c:v>11.658</c:v>
                </c:pt>
                <c:pt idx="530">
                  <c:v>11.632</c:v>
                </c:pt>
                <c:pt idx="531">
                  <c:v>11.637</c:v>
                </c:pt>
                <c:pt idx="532">
                  <c:v>11.623</c:v>
                </c:pt>
                <c:pt idx="533">
                  <c:v>11.643</c:v>
                </c:pt>
                <c:pt idx="534">
                  <c:v>11.638</c:v>
                </c:pt>
                <c:pt idx="535">
                  <c:v>11.645</c:v>
                </c:pt>
                <c:pt idx="536">
                  <c:v>11.648</c:v>
                </c:pt>
                <c:pt idx="537">
                  <c:v>11.628</c:v>
                </c:pt>
                <c:pt idx="538">
                  <c:v>11.758</c:v>
                </c:pt>
                <c:pt idx="539">
                  <c:v>11.786</c:v>
                </c:pt>
                <c:pt idx="540">
                  <c:v>11.79</c:v>
                </c:pt>
                <c:pt idx="541">
                  <c:v>11.794</c:v>
                </c:pt>
                <c:pt idx="542">
                  <c:v>11.79</c:v>
                </c:pt>
                <c:pt idx="543">
                  <c:v>11.728</c:v>
                </c:pt>
                <c:pt idx="544">
                  <c:v>11.449</c:v>
                </c:pt>
                <c:pt idx="545">
                  <c:v>11.543</c:v>
                </c:pt>
                <c:pt idx="546">
                  <c:v>11.621</c:v>
                </c:pt>
                <c:pt idx="547">
                  <c:v>11.629</c:v>
                </c:pt>
                <c:pt idx="548">
                  <c:v>11.676</c:v>
                </c:pt>
                <c:pt idx="549">
                  <c:v>11.638</c:v>
                </c:pt>
                <c:pt idx="550">
                  <c:v>11.648</c:v>
                </c:pt>
                <c:pt idx="551">
                  <c:v>11.629</c:v>
                </c:pt>
                <c:pt idx="552">
                  <c:v>11.621</c:v>
                </c:pt>
                <c:pt idx="553">
                  <c:v>11.609</c:v>
                </c:pt>
                <c:pt idx="554">
                  <c:v>11.63</c:v>
                </c:pt>
                <c:pt idx="555">
                  <c:v>11.754</c:v>
                </c:pt>
                <c:pt idx="556">
                  <c:v>11.782</c:v>
                </c:pt>
                <c:pt idx="557">
                  <c:v>11.786</c:v>
                </c:pt>
                <c:pt idx="558">
                  <c:v>11.79</c:v>
                </c:pt>
                <c:pt idx="559">
                  <c:v>11.79</c:v>
                </c:pt>
                <c:pt idx="560">
                  <c:v>11.786</c:v>
                </c:pt>
                <c:pt idx="561">
                  <c:v>11.787</c:v>
                </c:pt>
                <c:pt idx="562">
                  <c:v>11.79</c:v>
                </c:pt>
                <c:pt idx="563">
                  <c:v>11.791</c:v>
                </c:pt>
                <c:pt idx="564">
                  <c:v>11.79</c:v>
                </c:pt>
                <c:pt idx="565">
                  <c:v>11.791</c:v>
                </c:pt>
                <c:pt idx="566">
                  <c:v>11.79</c:v>
                </c:pt>
                <c:pt idx="567">
                  <c:v>11.787</c:v>
                </c:pt>
                <c:pt idx="568">
                  <c:v>11.791</c:v>
                </c:pt>
                <c:pt idx="569">
                  <c:v>11.791</c:v>
                </c:pt>
                <c:pt idx="570">
                  <c:v>11.791</c:v>
                </c:pt>
                <c:pt idx="571">
                  <c:v>11.791</c:v>
                </c:pt>
                <c:pt idx="572">
                  <c:v>11.791</c:v>
                </c:pt>
                <c:pt idx="573">
                  <c:v>11.791</c:v>
                </c:pt>
                <c:pt idx="574">
                  <c:v>11.791</c:v>
                </c:pt>
                <c:pt idx="575">
                  <c:v>11.791</c:v>
                </c:pt>
                <c:pt idx="576">
                  <c:v>11.791</c:v>
                </c:pt>
                <c:pt idx="577">
                  <c:v>11.791</c:v>
                </c:pt>
                <c:pt idx="578">
                  <c:v>11.791</c:v>
                </c:pt>
                <c:pt idx="579">
                  <c:v>11.791</c:v>
                </c:pt>
                <c:pt idx="580">
                  <c:v>11.786</c:v>
                </c:pt>
                <c:pt idx="581">
                  <c:v>11.79</c:v>
                </c:pt>
                <c:pt idx="582">
                  <c:v>11.795</c:v>
                </c:pt>
                <c:pt idx="583">
                  <c:v>11.791</c:v>
                </c:pt>
                <c:pt idx="584">
                  <c:v>11.791</c:v>
                </c:pt>
                <c:pt idx="585">
                  <c:v>11.791</c:v>
                </c:pt>
                <c:pt idx="586">
                  <c:v>11.787</c:v>
                </c:pt>
                <c:pt idx="587">
                  <c:v>11.791</c:v>
                </c:pt>
                <c:pt idx="588">
                  <c:v>11.791</c:v>
                </c:pt>
                <c:pt idx="589">
                  <c:v>11.787</c:v>
                </c:pt>
                <c:pt idx="590">
                  <c:v>11.787</c:v>
                </c:pt>
                <c:pt idx="591">
                  <c:v>11.791</c:v>
                </c:pt>
                <c:pt idx="592">
                  <c:v>11.791</c:v>
                </c:pt>
                <c:pt idx="593">
                  <c:v>11.787</c:v>
                </c:pt>
                <c:pt idx="594">
                  <c:v>11.787</c:v>
                </c:pt>
                <c:pt idx="595">
                  <c:v>11.787</c:v>
                </c:pt>
                <c:pt idx="596">
                  <c:v>11.787</c:v>
                </c:pt>
                <c:pt idx="597">
                  <c:v>11.779</c:v>
                </c:pt>
                <c:pt idx="598">
                  <c:v>11.787</c:v>
                </c:pt>
                <c:pt idx="599">
                  <c:v>11.791</c:v>
                </c:pt>
                <c:pt idx="600">
                  <c:v>11.787</c:v>
                </c:pt>
                <c:pt idx="601">
                  <c:v>11.787</c:v>
                </c:pt>
                <c:pt idx="602">
                  <c:v>11.787</c:v>
                </c:pt>
              </c:numCache>
            </c:numRef>
          </c:yVal>
          <c:smooth val="0"/>
        </c:ser>
        <c:axId val="37151079"/>
        <c:axId val="43568642"/>
      </c:scatterChart>
      <c:valAx>
        <c:axId val="37151079"/>
        <c:scaling>
          <c:orientation val="minMax"/>
          <c:max val="300"/>
          <c:min val="17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 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68642"/>
        <c:crosses val="autoZero"/>
        <c:crossBetween val="midCat"/>
      </c:valAx>
      <c:valAx>
        <c:axId val="43568642"/>
        <c:scaling>
          <c:orientation val="minMax"/>
          <c:max val="12.1"/>
          <c:min val="11.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510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Peak speed by run (orange = sun, blue = shade)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b6834"/>
              </a:solidFill>
              <a:ln w="0">
                <a:solidFill>
                  <a:srgbClr val="eb6834"/>
                </a:solidFill>
              </a:ln>
            </c:spPr>
          </c:dPt>
          <c:dPt>
            <c:idx val="1"/>
            <c:invertIfNegative val="0"/>
            <c:spPr>
              <a:solidFill>
                <a:srgbClr val="eb6834"/>
              </a:solidFill>
              <a:ln w="0">
                <a:solidFill>
                  <a:srgbClr val="eb6834"/>
                </a:solidFill>
              </a:ln>
            </c:spPr>
          </c:dPt>
          <c:dPt>
            <c:idx val="2"/>
            <c:invertIfNegative val="0"/>
            <c:spPr>
              <a:solidFill>
                <a:srgbClr val="eb6834"/>
              </a:solidFill>
              <a:ln w="0">
                <a:solidFill>
                  <a:srgbClr val="eb6834"/>
                </a:solidFill>
              </a:ln>
            </c:spPr>
          </c:dPt>
          <c:dPt>
            <c:idx val="3"/>
            <c:invertIfNegative val="0"/>
            <c:spPr>
              <a:solidFill>
                <a:srgbClr val="eb6834"/>
              </a:solidFill>
              <a:ln w="0">
                <a:solidFill>
                  <a:srgbClr val="eb6834"/>
                </a:solidFill>
              </a:ln>
            </c:spPr>
          </c:dPt>
          <c:dPt>
            <c:idx val="4"/>
            <c:invertIfNegative val="0"/>
            <c:spPr>
              <a:solidFill>
                <a:srgbClr val="eb6834"/>
              </a:solidFill>
              <a:ln w="0">
                <a:solidFill>
                  <a:srgbClr val="eb6834"/>
                </a:solidFill>
              </a:ln>
            </c:spPr>
          </c:dPt>
          <c:dPt>
            <c:idx val="5"/>
            <c:invertIfNegative val="0"/>
            <c:spPr>
              <a:solidFill>
                <a:srgbClr val="eb6834"/>
              </a:solidFill>
              <a:ln w="0">
                <a:solidFill>
                  <a:srgbClr val="eb6834"/>
                </a:solidFill>
              </a:ln>
            </c:spPr>
          </c:dPt>
          <c:dPt>
            <c:idx val="6"/>
            <c:invertIfNegative val="0"/>
            <c:spPr>
              <a:solidFill>
                <a:srgbClr val="eb6834"/>
              </a:solidFill>
              <a:ln w="0">
                <a:solidFill>
                  <a:srgbClr val="eb6834"/>
                </a:solidFill>
              </a:ln>
            </c:spPr>
          </c:dPt>
          <c:dPt>
            <c:idx val="7"/>
            <c:invertIfNegative val="0"/>
            <c:spPr>
              <a:solidFill>
                <a:srgbClr val="2a78d6"/>
              </a:solidFill>
              <a:ln w="0">
                <a:solidFill>
                  <a:srgbClr val="2a78d6"/>
                </a:solidFill>
              </a:ln>
            </c:spPr>
          </c:dPt>
          <c:dPt>
            <c:idx val="8"/>
            <c:invertIfNegative val="0"/>
            <c:spPr>
              <a:solidFill>
                <a:srgbClr val="2a78d6"/>
              </a:solidFill>
              <a:ln w="0">
                <a:solidFill>
                  <a:srgbClr val="2a78d6"/>
                </a:solidFill>
              </a:ln>
            </c:spPr>
          </c:dPt>
          <c:dPt>
            <c:idx val="9"/>
            <c:invertIfNegative val="0"/>
            <c:spPr>
              <a:solidFill>
                <a:srgbClr val="2a78d6"/>
              </a:solidFill>
              <a:ln w="0">
                <a:solidFill>
                  <a:srgbClr val="2a78d6"/>
                </a:solidFill>
              </a:ln>
            </c:spPr>
          </c:dPt>
          <c:dPt>
            <c:idx val="10"/>
            <c:invertIfNegative val="0"/>
            <c:spPr>
              <a:solidFill>
                <a:srgbClr val="2a78d6"/>
              </a:solidFill>
              <a:ln w="0">
                <a:solidFill>
                  <a:srgbClr val="2a78d6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Runs!$A$2:$A$12</c:f>
              <c:strCache>
                <c:ptCount val="11"/>
                <c:pt idx="0">
                  <c:v>Sun 1</c:v>
                </c:pt>
                <c:pt idx="1">
                  <c:v>Sun 2</c:v>
                </c:pt>
                <c:pt idx="2">
                  <c:v>Sun 3</c:v>
                </c:pt>
                <c:pt idx="3">
                  <c:v>Sun 4</c:v>
                </c:pt>
                <c:pt idx="4">
                  <c:v>Sun 5</c:v>
                </c:pt>
                <c:pt idx="5">
                  <c:v>Sun 6</c:v>
                </c:pt>
                <c:pt idx="6">
                  <c:v>Sun 7</c:v>
                </c:pt>
                <c:pt idx="7">
                  <c:v>Shade 1</c:v>
                </c:pt>
                <c:pt idx="8">
                  <c:v>Shade 2</c:v>
                </c:pt>
                <c:pt idx="9">
                  <c:v>Shade 3</c:v>
                </c:pt>
                <c:pt idx="10">
                  <c:v>Shade 4</c:v>
                </c:pt>
              </c:strCache>
            </c:strRef>
          </c:cat>
          <c:val>
            <c:numRef>
              <c:f>Runs!$G$2:$G$12</c:f>
              <c:numCache>
                <c:formatCode>0.00</c:formatCode>
                <c:ptCount val="11"/>
                <c:pt idx="0">
                  <c:v>0.136</c:v>
                </c:pt>
                <c:pt idx="1">
                  <c:v>0.245</c:v>
                </c:pt>
                <c:pt idx="2">
                  <c:v>0.299</c:v>
                </c:pt>
                <c:pt idx="3">
                  <c:v>0.118</c:v>
                </c:pt>
                <c:pt idx="4">
                  <c:v>0.217</c:v>
                </c:pt>
                <c:pt idx="5">
                  <c:v>0.326</c:v>
                </c:pt>
                <c:pt idx="6">
                  <c:v>0.353</c:v>
                </c:pt>
                <c:pt idx="7">
                  <c:v>0.721</c:v>
                </c:pt>
                <c:pt idx="8">
                  <c:v>0.735</c:v>
                </c:pt>
                <c:pt idx="9">
                  <c:v>0.694</c:v>
                </c:pt>
                <c:pt idx="10">
                  <c:v>0.696</c:v>
                </c:pt>
              </c:numCache>
            </c:numRef>
          </c:val>
        </c:ser>
        <c:gapWidth val="60"/>
        <c:overlap val="0"/>
        <c:axId val="62872311"/>
        <c:axId val="28864414"/>
      </c:barChart>
      <c:catAx>
        <c:axId val="62872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64414"/>
        <c:crosses val="autoZero"/>
        <c:auto val="1"/>
        <c:lblAlgn val="ctr"/>
        <c:lblOffset val="100"/>
        <c:noMultiLvlLbl val="0"/>
      </c:catAx>
      <c:valAx>
        <c:axId val="28864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723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 — sun runs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"Sun 1"</c:f>
              <c:strCache>
                <c:ptCount val="1"/>
                <c:pt idx="0">
                  <c:v>Sun 1</c:v>
                </c:pt>
              </c:strCache>
            </c:strRef>
          </c:tx>
          <c:spPr>
            <a:solidFill>
              <a:srgbClr val="f6bba3"/>
            </a:solidFill>
            <a:ln w="19080">
              <a:solidFill>
                <a:srgbClr val="f6bba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Profiles!$A$3:$A$43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Profiles!$B$3:$B$43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0.095</c:v>
                </c:pt>
                <c:pt idx="5">
                  <c:v>0.136</c:v>
                </c:pt>
                <c:pt idx="6">
                  <c:v>0.027</c:v>
                </c:pt>
                <c:pt idx="7">
                  <c:v>0.027</c:v>
                </c:pt>
                <c:pt idx="8">
                  <c:v>0</c:v>
                </c:pt>
                <c:pt idx="9">
                  <c:v>0</c:v>
                </c:pt>
                <c:pt idx="10">
                  <c:v>0.027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0.027</c:v>
                </c:pt>
                <c:pt idx="32">
                  <c:v>0.027</c:v>
                </c:pt>
                <c:pt idx="33">
                  <c:v>0.04</c:v>
                </c:pt>
                <c:pt idx="34">
                  <c:v>0.027</c:v>
                </c:pt>
                <c:pt idx="35">
                  <c:v>0</c:v>
                </c:pt>
                <c:pt idx="36">
                  <c:v>0.068</c:v>
                </c:pt>
                <c:pt idx="37">
                  <c:v>0.068</c:v>
                </c:pt>
                <c:pt idx="38">
                  <c:v>0.04</c:v>
                </c:pt>
                <c:pt idx="39">
                  <c:v>0.054</c:v>
                </c:pt>
                <c:pt idx="4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"Sun 2"</c:f>
              <c:strCache>
                <c:ptCount val="1"/>
                <c:pt idx="0">
                  <c:v>Sun 2</c:v>
                </c:pt>
              </c:strCache>
            </c:strRef>
          </c:tx>
          <c:spPr>
            <a:solidFill>
              <a:srgbClr val="f4ad91"/>
            </a:solidFill>
            <a:ln w="19080">
              <a:solidFill>
                <a:srgbClr val="f4ad9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Profiles!$G$3:$G$19</c:f>
              <c:numCache>
                <c:formatCode>General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</c:numCache>
            </c:numRef>
          </c:xVal>
          <c:yVal>
            <c:numRef>
              <c:f>Profiles!$H$3:$H$19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0.108</c:v>
                </c:pt>
                <c:pt idx="3">
                  <c:v>0.217</c:v>
                </c:pt>
                <c:pt idx="4">
                  <c:v>0.217</c:v>
                </c:pt>
                <c:pt idx="5">
                  <c:v>0.231</c:v>
                </c:pt>
                <c:pt idx="6">
                  <c:v>0.19</c:v>
                </c:pt>
                <c:pt idx="7">
                  <c:v>0.149</c:v>
                </c:pt>
                <c:pt idx="8">
                  <c:v>0.163</c:v>
                </c:pt>
                <c:pt idx="9">
                  <c:v>0.163</c:v>
                </c:pt>
                <c:pt idx="10">
                  <c:v>0.163</c:v>
                </c:pt>
                <c:pt idx="11">
                  <c:v>0.095</c:v>
                </c:pt>
                <c:pt idx="12">
                  <c:v>0.245</c:v>
                </c:pt>
                <c:pt idx="13">
                  <c:v>0.19</c:v>
                </c:pt>
                <c:pt idx="14">
                  <c:v>0.19</c:v>
                </c:pt>
                <c:pt idx="15">
                  <c:v>0.081</c:v>
                </c:pt>
                <c:pt idx="16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"Sun 3"</c:f>
              <c:strCache>
                <c:ptCount val="1"/>
                <c:pt idx="0">
                  <c:v>Sun 3</c:v>
                </c:pt>
              </c:strCache>
            </c:strRef>
          </c:tx>
          <c:spPr>
            <a:solidFill>
              <a:srgbClr val="f29f7e"/>
            </a:solidFill>
            <a:ln w="19080">
              <a:solidFill>
                <a:srgbClr val="f29f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Profiles!$M$3:$M$43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Profiles!$N$3:$N$43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0.068</c:v>
                </c:pt>
                <c:pt idx="6">
                  <c:v>0.068</c:v>
                </c:pt>
                <c:pt idx="7">
                  <c:v>0.136</c:v>
                </c:pt>
                <c:pt idx="8">
                  <c:v>0.136</c:v>
                </c:pt>
                <c:pt idx="9">
                  <c:v>0.122</c:v>
                </c:pt>
                <c:pt idx="10">
                  <c:v>0.108</c:v>
                </c:pt>
                <c:pt idx="11">
                  <c:v>0.108</c:v>
                </c:pt>
                <c:pt idx="12">
                  <c:v>0.068</c:v>
                </c:pt>
                <c:pt idx="13">
                  <c:v>0</c:v>
                </c:pt>
                <c:pt idx="14">
                  <c:v>0.04</c:v>
                </c:pt>
                <c:pt idx="15">
                  <c:v>0.027</c:v>
                </c:pt>
                <c:pt idx="16">
                  <c:v>0.027</c:v>
                </c:pt>
                <c:pt idx="17">
                  <c:v>0.04</c:v>
                </c:pt>
                <c:pt idx="18">
                  <c:v>0.068</c:v>
                </c:pt>
                <c:pt idx="19">
                  <c:v>0.108</c:v>
                </c:pt>
                <c:pt idx="20">
                  <c:v>0.081</c:v>
                </c:pt>
                <c:pt idx="21">
                  <c:v>0.081</c:v>
                </c:pt>
                <c:pt idx="22">
                  <c:v>0.136</c:v>
                </c:pt>
                <c:pt idx="23">
                  <c:v>0.081</c:v>
                </c:pt>
                <c:pt idx="24">
                  <c:v>0.04</c:v>
                </c:pt>
                <c:pt idx="25">
                  <c:v>0.068</c:v>
                </c:pt>
                <c:pt idx="26">
                  <c:v>0.068</c:v>
                </c:pt>
                <c:pt idx="27">
                  <c:v>0.054</c:v>
                </c:pt>
                <c:pt idx="28">
                  <c:v>0.122</c:v>
                </c:pt>
                <c:pt idx="29">
                  <c:v>0.136</c:v>
                </c:pt>
                <c:pt idx="30">
                  <c:v>0.163</c:v>
                </c:pt>
                <c:pt idx="31">
                  <c:v>0.163</c:v>
                </c:pt>
                <c:pt idx="32">
                  <c:v>0.149</c:v>
                </c:pt>
                <c:pt idx="33">
                  <c:v>0.217</c:v>
                </c:pt>
                <c:pt idx="34">
                  <c:v>0.204</c:v>
                </c:pt>
                <c:pt idx="35">
                  <c:v>0.285</c:v>
                </c:pt>
                <c:pt idx="36">
                  <c:v>0.285</c:v>
                </c:pt>
                <c:pt idx="37">
                  <c:v>0.299</c:v>
                </c:pt>
                <c:pt idx="38">
                  <c:v>0.19</c:v>
                </c:pt>
                <c:pt idx="39">
                  <c:v>0.081</c:v>
                </c:pt>
                <c:pt idx="40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"Sun 4"</c:f>
              <c:strCache>
                <c:ptCount val="1"/>
                <c:pt idx="0">
                  <c:v>Sun 4</c:v>
                </c:pt>
              </c:strCache>
            </c:strRef>
          </c:tx>
          <c:spPr>
            <a:solidFill>
              <a:srgbClr val="f0916b"/>
            </a:solidFill>
            <a:ln w="19080">
              <a:solidFill>
                <a:srgbClr val="f091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Profiles!$S$3:$S$21</c:f>
              <c:numCache>
                <c:formatCode>General</c:formatCode>
                <c:ptCount val="1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3.01</c:v>
                </c:pt>
                <c:pt idx="16">
                  <c:v>3.21</c:v>
                </c:pt>
                <c:pt idx="17">
                  <c:v>3.41</c:v>
                </c:pt>
                <c:pt idx="18">
                  <c:v>3.61</c:v>
                </c:pt>
              </c:numCache>
            </c:numRef>
          </c:xVal>
          <c:yVal>
            <c:numRef>
              <c:f>Profiles!$T$3:$T$21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0.013</c:v>
                </c:pt>
                <c:pt idx="8">
                  <c:v>0</c:v>
                </c:pt>
                <c:pt idx="9">
                  <c:v>0</c:v>
                </c:pt>
                <c:pt idx="10">
                  <c:v>0.013</c:v>
                </c:pt>
                <c:pt idx="11">
                  <c:v>0.027</c:v>
                </c:pt>
                <c:pt idx="12">
                  <c:v>0.027</c:v>
                </c:pt>
                <c:pt idx="13">
                  <c:v>0.118</c:v>
                </c:pt>
                <c:pt idx="14">
                  <c:v>0.118</c:v>
                </c:pt>
                <c:pt idx="15">
                  <c:v>0.027</c:v>
                </c:pt>
                <c:pt idx="16">
                  <c:v>0</c:v>
                </c:pt>
                <c:pt idx="17">
                  <c:v>0.027</c:v>
                </c:pt>
                <c:pt idx="18">
                  <c:v>0.013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"Sun 5"</c:f>
              <c:strCache>
                <c:ptCount val="1"/>
                <c:pt idx="0">
                  <c:v>Sun 5</c:v>
                </c:pt>
              </c:strCache>
            </c:strRef>
          </c:tx>
          <c:spPr>
            <a:solidFill>
              <a:srgbClr val="ee8359"/>
            </a:solidFill>
            <a:ln w="19080">
              <a:solidFill>
                <a:srgbClr val="ee83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Profiles!$Y$3:$Y$15</c:f>
              <c:numCache>
                <c:formatCode>General</c:formatCode>
                <c:ptCount val="13"/>
                <c:pt idx="0">
                  <c:v>0</c:v>
                </c:pt>
                <c:pt idx="1">
                  <c:v>0.19</c:v>
                </c:pt>
                <c:pt idx="2">
                  <c:v>0.39</c:v>
                </c:pt>
                <c:pt idx="3">
                  <c:v>0.59</c:v>
                </c:pt>
                <c:pt idx="4">
                  <c:v>0.79</c:v>
                </c:pt>
                <c:pt idx="5">
                  <c:v>0.99</c:v>
                </c:pt>
                <c:pt idx="6">
                  <c:v>1.19</c:v>
                </c:pt>
                <c:pt idx="7">
                  <c:v>1.39</c:v>
                </c:pt>
                <c:pt idx="8">
                  <c:v>1.59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</c:numCache>
            </c:numRef>
          </c:xVal>
          <c:yVal>
            <c:numRef>
              <c:f>Profiles!$Z$3:$Z$15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0.122</c:v>
                </c:pt>
                <c:pt idx="3">
                  <c:v>0.217</c:v>
                </c:pt>
                <c:pt idx="4">
                  <c:v>0.217</c:v>
                </c:pt>
                <c:pt idx="5">
                  <c:v>0.19</c:v>
                </c:pt>
                <c:pt idx="6">
                  <c:v>0.176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0.149</c:v>
                </c:pt>
                <c:pt idx="11">
                  <c:v>0.027</c:v>
                </c:pt>
                <c:pt idx="12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"Sun 6"</c:f>
              <c:strCache>
                <c:ptCount val="1"/>
                <c:pt idx="0">
                  <c:v>Sun 6</c:v>
                </c:pt>
              </c:strCache>
            </c:strRef>
          </c:tx>
          <c:spPr>
            <a:solidFill>
              <a:srgbClr val="ec7546"/>
            </a:solidFill>
            <a:ln w="19080">
              <a:solidFill>
                <a:srgbClr val="ec75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Profiles!$AE$3:$AE$15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Profiles!$AF$3:$AF$15</c:f>
              <c:numCache>
                <c:formatCode>General</c:formatCode>
                <c:ptCount val="13"/>
                <c:pt idx="0">
                  <c:v>0.013</c:v>
                </c:pt>
                <c:pt idx="1">
                  <c:v>0.013</c:v>
                </c:pt>
                <c:pt idx="2">
                  <c:v>0.258</c:v>
                </c:pt>
                <c:pt idx="3">
                  <c:v>0.231</c:v>
                </c:pt>
                <c:pt idx="4">
                  <c:v>0.258</c:v>
                </c:pt>
                <c:pt idx="5">
                  <c:v>0.326</c:v>
                </c:pt>
                <c:pt idx="6">
                  <c:v>0.326</c:v>
                </c:pt>
                <c:pt idx="7">
                  <c:v>0.299</c:v>
                </c:pt>
                <c:pt idx="8">
                  <c:v>0.258</c:v>
                </c:pt>
                <c:pt idx="9">
                  <c:v>0.19</c:v>
                </c:pt>
                <c:pt idx="10">
                  <c:v>0.068</c:v>
                </c:pt>
                <c:pt idx="11">
                  <c:v>0.068</c:v>
                </c:pt>
                <c:pt idx="12">
                  <c:v>0.013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"Sun 7"</c:f>
              <c:strCache>
                <c:ptCount val="1"/>
                <c:pt idx="0">
                  <c:v>Sun 7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Profiles!$AK$3:$AK$15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Profiles!$AL$3:$AL$15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0.149</c:v>
                </c:pt>
                <c:pt idx="3">
                  <c:v>0.285</c:v>
                </c:pt>
                <c:pt idx="4">
                  <c:v>0.34</c:v>
                </c:pt>
                <c:pt idx="5">
                  <c:v>0.353</c:v>
                </c:pt>
                <c:pt idx="6">
                  <c:v>0.353</c:v>
                </c:pt>
                <c:pt idx="7">
                  <c:v>0.353</c:v>
                </c:pt>
                <c:pt idx="8">
                  <c:v>0.326</c:v>
                </c:pt>
                <c:pt idx="9">
                  <c:v>0.163</c:v>
                </c:pt>
                <c:pt idx="10">
                  <c:v>0.068</c:v>
                </c:pt>
                <c:pt idx="11">
                  <c:v>0.068</c:v>
                </c:pt>
                <c:pt idx="12">
                  <c:v>0.013</c:v>
                </c:pt>
              </c:numCache>
            </c:numRef>
          </c:yVal>
          <c:smooth val="0"/>
        </c:ser>
        <c:axId val="20422467"/>
        <c:axId val="6933611"/>
      </c:scatterChart>
      <c:valAx>
        <c:axId val="20422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3611"/>
        <c:crosses val="autoZero"/>
        <c:crossBetween val="midCat"/>
      </c:valAx>
      <c:valAx>
        <c:axId val="6933611"/>
        <c:scaling>
          <c:orientation val="minMax"/>
          <c:max val="0.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224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Load power — sun runs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"Sun 1"</c:f>
              <c:strCache>
                <c:ptCount val="1"/>
                <c:pt idx="0">
                  <c:v>Sun 1</c:v>
                </c:pt>
              </c:strCache>
            </c:strRef>
          </c:tx>
          <c:spPr>
            <a:solidFill>
              <a:srgbClr val="f6bba3"/>
            </a:solidFill>
            <a:ln w="19080">
              <a:solidFill>
                <a:srgbClr val="f6bba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Profiles!$A$3:$A$43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Profiles!$C$3:$C$43</c:f>
              <c:numCache>
                <c:formatCode>General</c:formatCode>
                <c:ptCount val="41"/>
                <c:pt idx="0">
                  <c:v>2.586</c:v>
                </c:pt>
                <c:pt idx="1">
                  <c:v>7.399</c:v>
                </c:pt>
                <c:pt idx="2">
                  <c:v>6.679</c:v>
                </c:pt>
                <c:pt idx="3">
                  <c:v>4.868</c:v>
                </c:pt>
                <c:pt idx="4">
                  <c:v>3.616</c:v>
                </c:pt>
                <c:pt idx="5">
                  <c:v>6.089</c:v>
                </c:pt>
                <c:pt idx="6">
                  <c:v>6.034</c:v>
                </c:pt>
                <c:pt idx="7">
                  <c:v>6.232</c:v>
                </c:pt>
                <c:pt idx="8">
                  <c:v>5.644</c:v>
                </c:pt>
                <c:pt idx="9">
                  <c:v>5.096</c:v>
                </c:pt>
                <c:pt idx="10">
                  <c:v>5.109</c:v>
                </c:pt>
                <c:pt idx="11">
                  <c:v>4.151</c:v>
                </c:pt>
                <c:pt idx="12">
                  <c:v>6.893</c:v>
                </c:pt>
                <c:pt idx="13">
                  <c:v>6.593</c:v>
                </c:pt>
                <c:pt idx="14">
                  <c:v>6.242</c:v>
                </c:pt>
                <c:pt idx="15">
                  <c:v>5.751</c:v>
                </c:pt>
                <c:pt idx="16">
                  <c:v>6.55</c:v>
                </c:pt>
                <c:pt idx="17">
                  <c:v>5.421</c:v>
                </c:pt>
                <c:pt idx="18">
                  <c:v>3.032</c:v>
                </c:pt>
                <c:pt idx="19">
                  <c:v>2.843</c:v>
                </c:pt>
                <c:pt idx="20">
                  <c:v>2.625</c:v>
                </c:pt>
                <c:pt idx="21">
                  <c:v>2.289</c:v>
                </c:pt>
                <c:pt idx="22">
                  <c:v>2.131</c:v>
                </c:pt>
                <c:pt idx="23">
                  <c:v>2.179</c:v>
                </c:pt>
                <c:pt idx="24">
                  <c:v>2.187</c:v>
                </c:pt>
                <c:pt idx="25">
                  <c:v>2.174</c:v>
                </c:pt>
                <c:pt idx="26">
                  <c:v>2.175</c:v>
                </c:pt>
                <c:pt idx="27">
                  <c:v>2.175</c:v>
                </c:pt>
                <c:pt idx="28">
                  <c:v>2.914</c:v>
                </c:pt>
                <c:pt idx="29">
                  <c:v>8.497</c:v>
                </c:pt>
                <c:pt idx="30">
                  <c:v>10.839</c:v>
                </c:pt>
                <c:pt idx="31">
                  <c:v>8.005</c:v>
                </c:pt>
                <c:pt idx="32">
                  <c:v>6.165</c:v>
                </c:pt>
                <c:pt idx="33">
                  <c:v>5.346</c:v>
                </c:pt>
                <c:pt idx="34">
                  <c:v>6.036</c:v>
                </c:pt>
                <c:pt idx="35">
                  <c:v>5.841</c:v>
                </c:pt>
                <c:pt idx="36">
                  <c:v>6.371</c:v>
                </c:pt>
                <c:pt idx="37">
                  <c:v>2.426</c:v>
                </c:pt>
                <c:pt idx="38">
                  <c:v>2.354</c:v>
                </c:pt>
                <c:pt idx="39">
                  <c:v>1.384</c:v>
                </c:pt>
                <c:pt idx="40">
                  <c:v>1.343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"Sun 2"</c:f>
              <c:strCache>
                <c:ptCount val="1"/>
                <c:pt idx="0">
                  <c:v>Sun 2</c:v>
                </c:pt>
              </c:strCache>
            </c:strRef>
          </c:tx>
          <c:spPr>
            <a:solidFill>
              <a:srgbClr val="f4ad91"/>
            </a:solidFill>
            <a:ln w="19080">
              <a:solidFill>
                <a:srgbClr val="f4ad9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Profiles!$G$3:$G$19</c:f>
              <c:numCache>
                <c:formatCode>General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</c:numCache>
            </c:numRef>
          </c:xVal>
          <c:yVal>
            <c:numRef>
              <c:f>Profiles!$I$3:$I$19</c:f>
              <c:numCache>
                <c:formatCode>General</c:formatCode>
                <c:ptCount val="17"/>
                <c:pt idx="0">
                  <c:v>3.057</c:v>
                </c:pt>
                <c:pt idx="1">
                  <c:v>11.603</c:v>
                </c:pt>
                <c:pt idx="2">
                  <c:v>11.815</c:v>
                </c:pt>
                <c:pt idx="3">
                  <c:v>7.492</c:v>
                </c:pt>
                <c:pt idx="4">
                  <c:v>6.047</c:v>
                </c:pt>
                <c:pt idx="5">
                  <c:v>6.163</c:v>
                </c:pt>
                <c:pt idx="6">
                  <c:v>5.018</c:v>
                </c:pt>
                <c:pt idx="7">
                  <c:v>5.879</c:v>
                </c:pt>
                <c:pt idx="8">
                  <c:v>5.712</c:v>
                </c:pt>
                <c:pt idx="9">
                  <c:v>5.967</c:v>
                </c:pt>
                <c:pt idx="10">
                  <c:v>6.293</c:v>
                </c:pt>
                <c:pt idx="11">
                  <c:v>10.032</c:v>
                </c:pt>
                <c:pt idx="12">
                  <c:v>2.219</c:v>
                </c:pt>
                <c:pt idx="13">
                  <c:v>1.6</c:v>
                </c:pt>
                <c:pt idx="14">
                  <c:v>1.311</c:v>
                </c:pt>
                <c:pt idx="15">
                  <c:v>1.319</c:v>
                </c:pt>
                <c:pt idx="16">
                  <c:v>1.317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"Sun 3"</c:f>
              <c:strCache>
                <c:ptCount val="1"/>
                <c:pt idx="0">
                  <c:v>Sun 3</c:v>
                </c:pt>
              </c:strCache>
            </c:strRef>
          </c:tx>
          <c:spPr>
            <a:solidFill>
              <a:srgbClr val="f29f7e"/>
            </a:solidFill>
            <a:ln w="19080">
              <a:solidFill>
                <a:srgbClr val="f29f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Profiles!$M$3:$M$43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Profiles!$O$3:$O$43</c:f>
              <c:numCache>
                <c:formatCode>General</c:formatCode>
                <c:ptCount val="41"/>
                <c:pt idx="0">
                  <c:v>1.316</c:v>
                </c:pt>
                <c:pt idx="1">
                  <c:v>2.718</c:v>
                </c:pt>
                <c:pt idx="2">
                  <c:v>2.977</c:v>
                </c:pt>
                <c:pt idx="3">
                  <c:v>7.711</c:v>
                </c:pt>
                <c:pt idx="4">
                  <c:v>6.498</c:v>
                </c:pt>
                <c:pt idx="5">
                  <c:v>6.602</c:v>
                </c:pt>
                <c:pt idx="6">
                  <c:v>8.392</c:v>
                </c:pt>
                <c:pt idx="7">
                  <c:v>7.436</c:v>
                </c:pt>
                <c:pt idx="8">
                  <c:v>7.04</c:v>
                </c:pt>
                <c:pt idx="9">
                  <c:v>2.452</c:v>
                </c:pt>
                <c:pt idx="10">
                  <c:v>2.596</c:v>
                </c:pt>
                <c:pt idx="11">
                  <c:v>2.82</c:v>
                </c:pt>
                <c:pt idx="12">
                  <c:v>2.419</c:v>
                </c:pt>
                <c:pt idx="13">
                  <c:v>3.558</c:v>
                </c:pt>
                <c:pt idx="14">
                  <c:v>3.336</c:v>
                </c:pt>
                <c:pt idx="15">
                  <c:v>3.42</c:v>
                </c:pt>
                <c:pt idx="16">
                  <c:v>3.292</c:v>
                </c:pt>
                <c:pt idx="17">
                  <c:v>3.484</c:v>
                </c:pt>
                <c:pt idx="18">
                  <c:v>5.239</c:v>
                </c:pt>
                <c:pt idx="19">
                  <c:v>4.778</c:v>
                </c:pt>
                <c:pt idx="20">
                  <c:v>4.614</c:v>
                </c:pt>
                <c:pt idx="21">
                  <c:v>8.155</c:v>
                </c:pt>
                <c:pt idx="22">
                  <c:v>7.508</c:v>
                </c:pt>
                <c:pt idx="23">
                  <c:v>6.586</c:v>
                </c:pt>
                <c:pt idx="24">
                  <c:v>7.078</c:v>
                </c:pt>
                <c:pt idx="25">
                  <c:v>7.227</c:v>
                </c:pt>
                <c:pt idx="26">
                  <c:v>6.802</c:v>
                </c:pt>
                <c:pt idx="27">
                  <c:v>7.2</c:v>
                </c:pt>
                <c:pt idx="28">
                  <c:v>6.413</c:v>
                </c:pt>
                <c:pt idx="29">
                  <c:v>2.682</c:v>
                </c:pt>
                <c:pt idx="30">
                  <c:v>2.839</c:v>
                </c:pt>
                <c:pt idx="31">
                  <c:v>8.091</c:v>
                </c:pt>
                <c:pt idx="32">
                  <c:v>5.99</c:v>
                </c:pt>
                <c:pt idx="33">
                  <c:v>9.655</c:v>
                </c:pt>
                <c:pt idx="34">
                  <c:v>6.712</c:v>
                </c:pt>
                <c:pt idx="35">
                  <c:v>5.61</c:v>
                </c:pt>
                <c:pt idx="36">
                  <c:v>6.301</c:v>
                </c:pt>
                <c:pt idx="37">
                  <c:v>2.037</c:v>
                </c:pt>
                <c:pt idx="38">
                  <c:v>1.344</c:v>
                </c:pt>
                <c:pt idx="39">
                  <c:v>1.329</c:v>
                </c:pt>
                <c:pt idx="40">
                  <c:v>1.322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"Sun 4"</c:f>
              <c:strCache>
                <c:ptCount val="1"/>
                <c:pt idx="0">
                  <c:v>Sun 4</c:v>
                </c:pt>
              </c:strCache>
            </c:strRef>
          </c:tx>
          <c:spPr>
            <a:solidFill>
              <a:srgbClr val="f0916b"/>
            </a:solidFill>
            <a:ln w="19080">
              <a:solidFill>
                <a:srgbClr val="f091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Profiles!$S$3:$S$21</c:f>
              <c:numCache>
                <c:formatCode>General</c:formatCode>
                <c:ptCount val="1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3.01</c:v>
                </c:pt>
                <c:pt idx="16">
                  <c:v>3.21</c:v>
                </c:pt>
                <c:pt idx="17">
                  <c:v>3.41</c:v>
                </c:pt>
                <c:pt idx="18">
                  <c:v>3.61</c:v>
                </c:pt>
              </c:numCache>
            </c:numRef>
          </c:xVal>
          <c:yVal>
            <c:numRef>
              <c:f>Profiles!$U$3:$U$21</c:f>
              <c:numCache>
                <c:formatCode>General</c:formatCode>
                <c:ptCount val="19"/>
                <c:pt idx="0">
                  <c:v>1.335</c:v>
                </c:pt>
                <c:pt idx="1">
                  <c:v>6.326</c:v>
                </c:pt>
                <c:pt idx="2">
                  <c:v>5.06</c:v>
                </c:pt>
                <c:pt idx="3">
                  <c:v>5.012</c:v>
                </c:pt>
                <c:pt idx="4">
                  <c:v>10.742</c:v>
                </c:pt>
                <c:pt idx="5">
                  <c:v>6.822</c:v>
                </c:pt>
                <c:pt idx="6">
                  <c:v>5.965</c:v>
                </c:pt>
                <c:pt idx="7">
                  <c:v>6.045</c:v>
                </c:pt>
                <c:pt idx="8">
                  <c:v>5.961</c:v>
                </c:pt>
                <c:pt idx="9">
                  <c:v>5.887</c:v>
                </c:pt>
                <c:pt idx="10">
                  <c:v>5.923</c:v>
                </c:pt>
                <c:pt idx="11">
                  <c:v>5.735</c:v>
                </c:pt>
                <c:pt idx="12">
                  <c:v>6.176</c:v>
                </c:pt>
                <c:pt idx="13">
                  <c:v>2.986</c:v>
                </c:pt>
                <c:pt idx="14">
                  <c:v>2.673</c:v>
                </c:pt>
                <c:pt idx="15">
                  <c:v>2.394</c:v>
                </c:pt>
                <c:pt idx="16">
                  <c:v>2.193</c:v>
                </c:pt>
                <c:pt idx="17">
                  <c:v>1.308</c:v>
                </c:pt>
                <c:pt idx="18">
                  <c:v>1.329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"Sun 5"</c:f>
              <c:strCache>
                <c:ptCount val="1"/>
                <c:pt idx="0">
                  <c:v>Sun 5</c:v>
                </c:pt>
              </c:strCache>
            </c:strRef>
          </c:tx>
          <c:spPr>
            <a:solidFill>
              <a:srgbClr val="ee8359"/>
            </a:solidFill>
            <a:ln w="19080">
              <a:solidFill>
                <a:srgbClr val="ee83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Profiles!$Y$3:$Y$15</c:f>
              <c:numCache>
                <c:formatCode>General</c:formatCode>
                <c:ptCount val="13"/>
                <c:pt idx="0">
                  <c:v>0</c:v>
                </c:pt>
                <c:pt idx="1">
                  <c:v>0.19</c:v>
                </c:pt>
                <c:pt idx="2">
                  <c:v>0.39</c:v>
                </c:pt>
                <c:pt idx="3">
                  <c:v>0.59</c:v>
                </c:pt>
                <c:pt idx="4">
                  <c:v>0.79</c:v>
                </c:pt>
                <c:pt idx="5">
                  <c:v>0.99</c:v>
                </c:pt>
                <c:pt idx="6">
                  <c:v>1.19</c:v>
                </c:pt>
                <c:pt idx="7">
                  <c:v>1.39</c:v>
                </c:pt>
                <c:pt idx="8">
                  <c:v>1.59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</c:numCache>
            </c:numRef>
          </c:xVal>
          <c:yVal>
            <c:numRef>
              <c:f>Profiles!$AA$3:$AA$15</c:f>
              <c:numCache>
                <c:formatCode>General</c:formatCode>
                <c:ptCount val="13"/>
                <c:pt idx="0">
                  <c:v>2.539</c:v>
                </c:pt>
                <c:pt idx="1">
                  <c:v>14.512</c:v>
                </c:pt>
                <c:pt idx="2">
                  <c:v>8.026</c:v>
                </c:pt>
                <c:pt idx="3">
                  <c:v>6.951</c:v>
                </c:pt>
                <c:pt idx="4">
                  <c:v>5.509</c:v>
                </c:pt>
                <c:pt idx="5">
                  <c:v>6.12</c:v>
                </c:pt>
                <c:pt idx="6">
                  <c:v>6.319</c:v>
                </c:pt>
                <c:pt idx="7">
                  <c:v>5.574</c:v>
                </c:pt>
                <c:pt idx="8">
                  <c:v>2.207</c:v>
                </c:pt>
                <c:pt idx="9">
                  <c:v>1.413</c:v>
                </c:pt>
                <c:pt idx="10">
                  <c:v>1.309</c:v>
                </c:pt>
                <c:pt idx="11">
                  <c:v>1.324</c:v>
                </c:pt>
                <c:pt idx="12">
                  <c:v>1.341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"Sun 6"</c:f>
              <c:strCache>
                <c:ptCount val="1"/>
                <c:pt idx="0">
                  <c:v>Sun 6</c:v>
                </c:pt>
              </c:strCache>
            </c:strRef>
          </c:tx>
          <c:spPr>
            <a:solidFill>
              <a:srgbClr val="ec7546"/>
            </a:solidFill>
            <a:ln w="19080">
              <a:solidFill>
                <a:srgbClr val="ec75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Profiles!$AE$3:$AE$15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Profiles!$AG$3:$AG$15</c:f>
              <c:numCache>
                <c:formatCode>General</c:formatCode>
                <c:ptCount val="13"/>
                <c:pt idx="0">
                  <c:v>15.059</c:v>
                </c:pt>
                <c:pt idx="1">
                  <c:v>9.207</c:v>
                </c:pt>
                <c:pt idx="2">
                  <c:v>7.191</c:v>
                </c:pt>
                <c:pt idx="3">
                  <c:v>5.853</c:v>
                </c:pt>
                <c:pt idx="4">
                  <c:v>5.642</c:v>
                </c:pt>
                <c:pt idx="5">
                  <c:v>5.914</c:v>
                </c:pt>
                <c:pt idx="6">
                  <c:v>5.849</c:v>
                </c:pt>
                <c:pt idx="7">
                  <c:v>2.306</c:v>
                </c:pt>
                <c:pt idx="8">
                  <c:v>2.109</c:v>
                </c:pt>
                <c:pt idx="9">
                  <c:v>1.33</c:v>
                </c:pt>
                <c:pt idx="10">
                  <c:v>1.305</c:v>
                </c:pt>
                <c:pt idx="11">
                  <c:v>1.302</c:v>
                </c:pt>
                <c:pt idx="12">
                  <c:v>1.316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"Sun 7"</c:f>
              <c:strCache>
                <c:ptCount val="1"/>
                <c:pt idx="0">
                  <c:v>Sun 7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Profiles!$AK$3:$AK$15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Profiles!$AM$3:$AM$15</c:f>
              <c:numCache>
                <c:formatCode>General</c:formatCode>
                <c:ptCount val="13"/>
                <c:pt idx="0">
                  <c:v>8.014</c:v>
                </c:pt>
                <c:pt idx="1">
                  <c:v>10.871</c:v>
                </c:pt>
                <c:pt idx="2">
                  <c:v>7.704</c:v>
                </c:pt>
                <c:pt idx="3">
                  <c:v>5.893</c:v>
                </c:pt>
                <c:pt idx="4">
                  <c:v>6.158</c:v>
                </c:pt>
                <c:pt idx="5">
                  <c:v>5.968</c:v>
                </c:pt>
                <c:pt idx="6">
                  <c:v>5.769</c:v>
                </c:pt>
                <c:pt idx="7">
                  <c:v>1.84</c:v>
                </c:pt>
                <c:pt idx="8">
                  <c:v>1.315</c:v>
                </c:pt>
                <c:pt idx="9">
                  <c:v>1.307</c:v>
                </c:pt>
                <c:pt idx="10">
                  <c:v>1.302</c:v>
                </c:pt>
                <c:pt idx="11">
                  <c:v>1.293</c:v>
                </c:pt>
                <c:pt idx="12">
                  <c:v>1.3</c:v>
                </c:pt>
              </c:numCache>
            </c:numRef>
          </c:yVal>
          <c:smooth val="0"/>
        </c:ser>
        <c:axId val="69283338"/>
        <c:axId val="88397010"/>
      </c:scatterChart>
      <c:valAx>
        <c:axId val="69283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97010"/>
        <c:crosses val="autoZero"/>
        <c:crossBetween val="midCat"/>
      </c:valAx>
      <c:valAx>
        <c:axId val="88397010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8333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Battery power — sun runs (negative = charging)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"Sun 1"</c:f>
              <c:strCache>
                <c:ptCount val="1"/>
                <c:pt idx="0">
                  <c:v>Sun 1</c:v>
                </c:pt>
              </c:strCache>
            </c:strRef>
          </c:tx>
          <c:spPr>
            <a:solidFill>
              <a:srgbClr val="f6bba3"/>
            </a:solidFill>
            <a:ln w="19080">
              <a:solidFill>
                <a:srgbClr val="f6bba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Profiles!$A$3:$A$43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Profiles!$D$3:$D$43</c:f>
              <c:numCache>
                <c:formatCode>General</c:formatCode>
                <c:ptCount val="41"/>
                <c:pt idx="0">
                  <c:v>-2.976</c:v>
                </c:pt>
                <c:pt idx="1">
                  <c:v>1.95</c:v>
                </c:pt>
                <c:pt idx="2">
                  <c:v>1.241</c:v>
                </c:pt>
                <c:pt idx="3">
                  <c:v>-0.606</c:v>
                </c:pt>
                <c:pt idx="4">
                  <c:v>-1.834</c:v>
                </c:pt>
                <c:pt idx="5">
                  <c:v>0.746</c:v>
                </c:pt>
                <c:pt idx="6">
                  <c:v>0.699</c:v>
                </c:pt>
                <c:pt idx="7">
                  <c:v>0.947</c:v>
                </c:pt>
                <c:pt idx="8">
                  <c:v>0.32</c:v>
                </c:pt>
                <c:pt idx="9">
                  <c:v>-0.202</c:v>
                </c:pt>
                <c:pt idx="10">
                  <c:v>-0.166</c:v>
                </c:pt>
                <c:pt idx="11">
                  <c:v>-1.226</c:v>
                </c:pt>
                <c:pt idx="12">
                  <c:v>1.575</c:v>
                </c:pt>
                <c:pt idx="13">
                  <c:v>1.288</c:v>
                </c:pt>
                <c:pt idx="14">
                  <c:v>0.981</c:v>
                </c:pt>
                <c:pt idx="15">
                  <c:v>0.521</c:v>
                </c:pt>
                <c:pt idx="16">
                  <c:v>1.444</c:v>
                </c:pt>
                <c:pt idx="17">
                  <c:v>0.307</c:v>
                </c:pt>
                <c:pt idx="18">
                  <c:v>-2.037</c:v>
                </c:pt>
                <c:pt idx="19">
                  <c:v>-2.205</c:v>
                </c:pt>
                <c:pt idx="20">
                  <c:v>-2.374</c:v>
                </c:pt>
                <c:pt idx="21">
                  <c:v>-2.734</c:v>
                </c:pt>
                <c:pt idx="22">
                  <c:v>-2.877</c:v>
                </c:pt>
                <c:pt idx="23">
                  <c:v>-2.843</c:v>
                </c:pt>
                <c:pt idx="24">
                  <c:v>-2.831</c:v>
                </c:pt>
                <c:pt idx="25">
                  <c:v>-2.853</c:v>
                </c:pt>
                <c:pt idx="26">
                  <c:v>-2.854</c:v>
                </c:pt>
                <c:pt idx="27">
                  <c:v>-2.854</c:v>
                </c:pt>
                <c:pt idx="28">
                  <c:v>-2.111</c:v>
                </c:pt>
                <c:pt idx="29">
                  <c:v>3.586</c:v>
                </c:pt>
                <c:pt idx="30">
                  <c:v>5.951</c:v>
                </c:pt>
                <c:pt idx="31">
                  <c:v>3.098</c:v>
                </c:pt>
                <c:pt idx="32">
                  <c:v>1.251</c:v>
                </c:pt>
                <c:pt idx="33">
                  <c:v>0.461</c:v>
                </c:pt>
                <c:pt idx="34">
                  <c:v>1.161</c:v>
                </c:pt>
                <c:pt idx="35">
                  <c:v>1.031</c:v>
                </c:pt>
                <c:pt idx="36">
                  <c:v>1.692</c:v>
                </c:pt>
                <c:pt idx="37">
                  <c:v>-2.217</c:v>
                </c:pt>
                <c:pt idx="38">
                  <c:v>-2.242</c:v>
                </c:pt>
                <c:pt idx="39">
                  <c:v>-3.214</c:v>
                </c:pt>
                <c:pt idx="40">
                  <c:v>-3.262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"Sun 2"</c:f>
              <c:strCache>
                <c:ptCount val="1"/>
                <c:pt idx="0">
                  <c:v>Sun 2</c:v>
                </c:pt>
              </c:strCache>
            </c:strRef>
          </c:tx>
          <c:spPr>
            <a:solidFill>
              <a:srgbClr val="f4ad91"/>
            </a:solidFill>
            <a:ln w="19080">
              <a:solidFill>
                <a:srgbClr val="f4ad9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Profiles!$G$3:$G$19</c:f>
              <c:numCache>
                <c:formatCode>General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</c:numCache>
            </c:numRef>
          </c:xVal>
          <c:yVal>
            <c:numRef>
              <c:f>Profiles!$J$3:$J$19</c:f>
              <c:numCache>
                <c:formatCode>General</c:formatCode>
                <c:ptCount val="17"/>
                <c:pt idx="0">
                  <c:v>-1.464</c:v>
                </c:pt>
                <c:pt idx="1">
                  <c:v>7.264</c:v>
                </c:pt>
                <c:pt idx="2">
                  <c:v>7.498</c:v>
                </c:pt>
                <c:pt idx="3">
                  <c:v>3.244</c:v>
                </c:pt>
                <c:pt idx="4">
                  <c:v>1.82</c:v>
                </c:pt>
                <c:pt idx="5">
                  <c:v>2.166</c:v>
                </c:pt>
                <c:pt idx="6">
                  <c:v>1.006</c:v>
                </c:pt>
                <c:pt idx="7">
                  <c:v>1.797</c:v>
                </c:pt>
                <c:pt idx="8">
                  <c:v>1.581</c:v>
                </c:pt>
                <c:pt idx="9">
                  <c:v>1.759</c:v>
                </c:pt>
                <c:pt idx="10">
                  <c:v>2.135</c:v>
                </c:pt>
                <c:pt idx="11">
                  <c:v>5.925</c:v>
                </c:pt>
                <c:pt idx="12">
                  <c:v>-1.869</c:v>
                </c:pt>
                <c:pt idx="13">
                  <c:v>-2.469</c:v>
                </c:pt>
                <c:pt idx="14">
                  <c:v>-2.66</c:v>
                </c:pt>
                <c:pt idx="15">
                  <c:v>-2.624</c:v>
                </c:pt>
                <c:pt idx="16">
                  <c:v>-2.589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"Sun 3"</c:f>
              <c:strCache>
                <c:ptCount val="1"/>
                <c:pt idx="0">
                  <c:v>Sun 3</c:v>
                </c:pt>
              </c:strCache>
            </c:strRef>
          </c:tx>
          <c:spPr>
            <a:solidFill>
              <a:srgbClr val="f29f7e"/>
            </a:solidFill>
            <a:ln w="19080">
              <a:solidFill>
                <a:srgbClr val="f29f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Profiles!$M$3:$M$43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Profiles!$P$3:$P$43</c:f>
              <c:numCache>
                <c:formatCode>General</c:formatCode>
                <c:ptCount val="41"/>
                <c:pt idx="0">
                  <c:v>-2.553</c:v>
                </c:pt>
                <c:pt idx="1">
                  <c:v>-1.118</c:v>
                </c:pt>
                <c:pt idx="2">
                  <c:v>-0.843</c:v>
                </c:pt>
                <c:pt idx="3">
                  <c:v>3.962</c:v>
                </c:pt>
                <c:pt idx="4">
                  <c:v>2.579</c:v>
                </c:pt>
                <c:pt idx="5">
                  <c:v>2.651</c:v>
                </c:pt>
                <c:pt idx="6">
                  <c:v>4.448</c:v>
                </c:pt>
                <c:pt idx="7">
                  <c:v>3.365</c:v>
                </c:pt>
                <c:pt idx="8">
                  <c:v>3</c:v>
                </c:pt>
                <c:pt idx="9">
                  <c:v>-1.619</c:v>
                </c:pt>
                <c:pt idx="10">
                  <c:v>-1.403</c:v>
                </c:pt>
                <c:pt idx="11">
                  <c:v>-1.118</c:v>
                </c:pt>
                <c:pt idx="12">
                  <c:v>-1.475</c:v>
                </c:pt>
                <c:pt idx="13">
                  <c:v>-0.332</c:v>
                </c:pt>
                <c:pt idx="14">
                  <c:v>-0.546</c:v>
                </c:pt>
                <c:pt idx="15">
                  <c:v>-0.439</c:v>
                </c:pt>
                <c:pt idx="16">
                  <c:v>-0.558</c:v>
                </c:pt>
                <c:pt idx="17">
                  <c:v>-0.356</c:v>
                </c:pt>
                <c:pt idx="18">
                  <c:v>1.383</c:v>
                </c:pt>
                <c:pt idx="19">
                  <c:v>0.888</c:v>
                </c:pt>
                <c:pt idx="20">
                  <c:v>0.758</c:v>
                </c:pt>
                <c:pt idx="21">
                  <c:v>4.296</c:v>
                </c:pt>
                <c:pt idx="22">
                  <c:v>3.528</c:v>
                </c:pt>
                <c:pt idx="23">
                  <c:v>2.497</c:v>
                </c:pt>
                <c:pt idx="24">
                  <c:v>2.988</c:v>
                </c:pt>
                <c:pt idx="25">
                  <c:v>3.083</c:v>
                </c:pt>
                <c:pt idx="26">
                  <c:v>2.614</c:v>
                </c:pt>
                <c:pt idx="27">
                  <c:v>2.958</c:v>
                </c:pt>
                <c:pt idx="28">
                  <c:v>2.193</c:v>
                </c:pt>
                <c:pt idx="29">
                  <c:v>-1.618</c:v>
                </c:pt>
                <c:pt idx="30">
                  <c:v>-1.391</c:v>
                </c:pt>
                <c:pt idx="31">
                  <c:v>3.988</c:v>
                </c:pt>
                <c:pt idx="32">
                  <c:v>1.877</c:v>
                </c:pt>
                <c:pt idx="33">
                  <c:v>5.622</c:v>
                </c:pt>
                <c:pt idx="34">
                  <c:v>2.684</c:v>
                </c:pt>
                <c:pt idx="35">
                  <c:v>1.641</c:v>
                </c:pt>
                <c:pt idx="36">
                  <c:v>2.462</c:v>
                </c:pt>
                <c:pt idx="37">
                  <c:v>-1.809</c:v>
                </c:pt>
                <c:pt idx="38">
                  <c:v>-2.504</c:v>
                </c:pt>
                <c:pt idx="39">
                  <c:v>-2.492</c:v>
                </c:pt>
                <c:pt idx="40">
                  <c:v>-2.493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"Sun 4"</c:f>
              <c:strCache>
                <c:ptCount val="1"/>
                <c:pt idx="0">
                  <c:v>Sun 4</c:v>
                </c:pt>
              </c:strCache>
            </c:strRef>
          </c:tx>
          <c:spPr>
            <a:solidFill>
              <a:srgbClr val="f0916b"/>
            </a:solidFill>
            <a:ln w="19080">
              <a:solidFill>
                <a:srgbClr val="f091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Profiles!$S$3:$S$21</c:f>
              <c:numCache>
                <c:formatCode>General</c:formatCode>
                <c:ptCount val="1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3.01</c:v>
                </c:pt>
                <c:pt idx="16">
                  <c:v>3.21</c:v>
                </c:pt>
                <c:pt idx="17">
                  <c:v>3.41</c:v>
                </c:pt>
                <c:pt idx="18">
                  <c:v>3.61</c:v>
                </c:pt>
              </c:numCache>
            </c:numRef>
          </c:xVal>
          <c:yVal>
            <c:numRef>
              <c:f>Profiles!$V$3:$V$21</c:f>
              <c:numCache>
                <c:formatCode>General</c:formatCode>
                <c:ptCount val="19"/>
                <c:pt idx="0">
                  <c:v>-3.853</c:v>
                </c:pt>
                <c:pt idx="1">
                  <c:v>1.197</c:v>
                </c:pt>
                <c:pt idx="2">
                  <c:v>-0.107</c:v>
                </c:pt>
                <c:pt idx="3">
                  <c:v>-0.154</c:v>
                </c:pt>
                <c:pt idx="4">
                  <c:v>5.74</c:v>
                </c:pt>
                <c:pt idx="5">
                  <c:v>1.82</c:v>
                </c:pt>
                <c:pt idx="6">
                  <c:v>0.947</c:v>
                </c:pt>
                <c:pt idx="7">
                  <c:v>1.1</c:v>
                </c:pt>
                <c:pt idx="8">
                  <c:v>1.005</c:v>
                </c:pt>
                <c:pt idx="9">
                  <c:v>0.934</c:v>
                </c:pt>
                <c:pt idx="10">
                  <c:v>1.064</c:v>
                </c:pt>
                <c:pt idx="11">
                  <c:v>0.944</c:v>
                </c:pt>
                <c:pt idx="12">
                  <c:v>1.335</c:v>
                </c:pt>
                <c:pt idx="13">
                  <c:v>-1.856</c:v>
                </c:pt>
                <c:pt idx="14">
                  <c:v>-2.157</c:v>
                </c:pt>
                <c:pt idx="15">
                  <c:v>-2.373</c:v>
                </c:pt>
                <c:pt idx="16">
                  <c:v>-2.553</c:v>
                </c:pt>
                <c:pt idx="17">
                  <c:v>-3.419</c:v>
                </c:pt>
                <c:pt idx="18">
                  <c:v>-3.383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"Sun 5"</c:f>
              <c:strCache>
                <c:ptCount val="1"/>
                <c:pt idx="0">
                  <c:v>Sun 5</c:v>
                </c:pt>
              </c:strCache>
            </c:strRef>
          </c:tx>
          <c:spPr>
            <a:solidFill>
              <a:srgbClr val="ee8359"/>
            </a:solidFill>
            <a:ln w="19080">
              <a:solidFill>
                <a:srgbClr val="ee83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Profiles!$Y$3:$Y$15</c:f>
              <c:numCache>
                <c:formatCode>General</c:formatCode>
                <c:ptCount val="13"/>
                <c:pt idx="0">
                  <c:v>0</c:v>
                </c:pt>
                <c:pt idx="1">
                  <c:v>0.19</c:v>
                </c:pt>
                <c:pt idx="2">
                  <c:v>0.39</c:v>
                </c:pt>
                <c:pt idx="3">
                  <c:v>0.59</c:v>
                </c:pt>
                <c:pt idx="4">
                  <c:v>0.79</c:v>
                </c:pt>
                <c:pt idx="5">
                  <c:v>0.99</c:v>
                </c:pt>
                <c:pt idx="6">
                  <c:v>1.19</c:v>
                </c:pt>
                <c:pt idx="7">
                  <c:v>1.39</c:v>
                </c:pt>
                <c:pt idx="8">
                  <c:v>1.59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</c:numCache>
            </c:numRef>
          </c:xVal>
          <c:yVal>
            <c:numRef>
              <c:f>Profiles!$AB$3:$AB$15</c:f>
              <c:numCache>
                <c:formatCode>General</c:formatCode>
                <c:ptCount val="13"/>
                <c:pt idx="0">
                  <c:v>-2.146</c:v>
                </c:pt>
                <c:pt idx="1">
                  <c:v>10.129</c:v>
                </c:pt>
                <c:pt idx="2">
                  <c:v>3.672</c:v>
                </c:pt>
                <c:pt idx="3">
                  <c:v>2.592</c:v>
                </c:pt>
                <c:pt idx="4">
                  <c:v>1.134</c:v>
                </c:pt>
                <c:pt idx="5">
                  <c:v>2.02</c:v>
                </c:pt>
                <c:pt idx="6">
                  <c:v>2.229</c:v>
                </c:pt>
                <c:pt idx="7">
                  <c:v>1.464</c:v>
                </c:pt>
                <c:pt idx="8">
                  <c:v>-1.918</c:v>
                </c:pt>
                <c:pt idx="9">
                  <c:v>-2.685</c:v>
                </c:pt>
                <c:pt idx="10">
                  <c:v>-2.78</c:v>
                </c:pt>
                <c:pt idx="11">
                  <c:v>-2.72</c:v>
                </c:pt>
                <c:pt idx="12">
                  <c:v>-2.697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"Sun 6"</c:f>
              <c:strCache>
                <c:ptCount val="1"/>
                <c:pt idx="0">
                  <c:v>Sun 6</c:v>
                </c:pt>
              </c:strCache>
            </c:strRef>
          </c:tx>
          <c:spPr>
            <a:solidFill>
              <a:srgbClr val="ec7546"/>
            </a:solidFill>
            <a:ln w="19080">
              <a:solidFill>
                <a:srgbClr val="ec75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Profiles!$AE$3:$AE$15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Profiles!$AH$3:$AH$15</c:f>
              <c:numCache>
                <c:formatCode>General</c:formatCode>
                <c:ptCount val="13"/>
                <c:pt idx="0">
                  <c:v>11.353</c:v>
                </c:pt>
                <c:pt idx="1">
                  <c:v>5.554</c:v>
                </c:pt>
                <c:pt idx="2">
                  <c:v>3.517</c:v>
                </c:pt>
                <c:pt idx="3">
                  <c:v>2.099</c:v>
                </c:pt>
                <c:pt idx="4">
                  <c:v>2.086</c:v>
                </c:pt>
                <c:pt idx="5">
                  <c:v>2.412</c:v>
                </c:pt>
                <c:pt idx="6">
                  <c:v>2.319</c:v>
                </c:pt>
                <c:pt idx="7">
                  <c:v>-1.093</c:v>
                </c:pt>
                <c:pt idx="8">
                  <c:v>-1.26</c:v>
                </c:pt>
                <c:pt idx="9">
                  <c:v>-1.989</c:v>
                </c:pt>
                <c:pt idx="10">
                  <c:v>-1.977</c:v>
                </c:pt>
                <c:pt idx="11">
                  <c:v>-1.953</c:v>
                </c:pt>
                <c:pt idx="12">
                  <c:v>-1.951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"Sun 7"</c:f>
              <c:strCache>
                <c:ptCount val="1"/>
                <c:pt idx="0">
                  <c:v>Sun 7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Profiles!$AK$3:$AK$15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Profiles!$AN$3:$AN$15</c:f>
              <c:numCache>
                <c:formatCode>General</c:formatCode>
                <c:ptCount val="13"/>
                <c:pt idx="0">
                  <c:v>4.814</c:v>
                </c:pt>
                <c:pt idx="1">
                  <c:v>7.852</c:v>
                </c:pt>
                <c:pt idx="2">
                  <c:v>4.647</c:v>
                </c:pt>
                <c:pt idx="3">
                  <c:v>2.85</c:v>
                </c:pt>
                <c:pt idx="4">
                  <c:v>3.193</c:v>
                </c:pt>
                <c:pt idx="5">
                  <c:v>3.4</c:v>
                </c:pt>
                <c:pt idx="6">
                  <c:v>4.137</c:v>
                </c:pt>
                <c:pt idx="7">
                  <c:v>0.32</c:v>
                </c:pt>
                <c:pt idx="8">
                  <c:v>-0.036</c:v>
                </c:pt>
                <c:pt idx="9">
                  <c:v>-0.368</c:v>
                </c:pt>
                <c:pt idx="10">
                  <c:v>-0.57</c:v>
                </c:pt>
                <c:pt idx="11">
                  <c:v>-0.273</c:v>
                </c:pt>
                <c:pt idx="12">
                  <c:v>-0.024</c:v>
                </c:pt>
              </c:numCache>
            </c:numRef>
          </c:yVal>
          <c:smooth val="0"/>
        </c:ser>
        <c:axId val="67522418"/>
        <c:axId val="12526124"/>
      </c:scatterChart>
      <c:valAx>
        <c:axId val="675224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26124"/>
        <c:crosses val="min"/>
        <c:crossBetween val="midCat"/>
      </c:valAx>
      <c:valAx>
        <c:axId val="12526124"/>
        <c:scaling>
          <c:orientation val="minMax"/>
          <c:max val="12"/>
          <c:min val="-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224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 per run — sun (load vs from battery)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"Load energy"</c:f>
              <c:strCache>
                <c:ptCount val="1"/>
                <c:pt idx="0">
                  <c:v>Load energy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Runs!$A$2:$A$8</c:f>
              <c:strCache>
                <c:ptCount val="7"/>
                <c:pt idx="0">
                  <c:v>Sun 1</c:v>
                </c:pt>
                <c:pt idx="1">
                  <c:v>Sun 2</c:v>
                </c:pt>
                <c:pt idx="2">
                  <c:v>Sun 3</c:v>
                </c:pt>
                <c:pt idx="3">
                  <c:v>Sun 4</c:v>
                </c:pt>
                <c:pt idx="4">
                  <c:v>Sun 5</c:v>
                </c:pt>
                <c:pt idx="5">
                  <c:v>Sun 6</c:v>
                </c:pt>
                <c:pt idx="6">
                  <c:v>Sun 7</c:v>
                </c:pt>
              </c:strCache>
            </c:strRef>
          </c:cat>
          <c:val>
            <c:numRef>
              <c:f>Runs!$R$2:$R$8</c:f>
              <c:numCache>
                <c:formatCode>0.0</c:formatCode>
                <c:ptCount val="7"/>
                <c:pt idx="0">
                  <c:v>37.9243669634201</c:v>
                </c:pt>
                <c:pt idx="1">
                  <c:v>17.4591990976999</c:v>
                </c:pt>
                <c:pt idx="2">
                  <c:v>39.5088138632</c:v>
                </c:pt>
                <c:pt idx="3">
                  <c:v>17.4741007554151</c:v>
                </c:pt>
                <c:pt idx="4">
                  <c:v>11.5262964932699</c:v>
                </c:pt>
                <c:pt idx="5">
                  <c:v>11.8259674446998</c:v>
                </c:pt>
                <c:pt idx="6">
                  <c:v>10.4433241140999</c:v>
                </c:pt>
              </c:numCache>
            </c:numRef>
          </c:val>
        </c:ser>
        <c:ser>
          <c:idx val="1"/>
          <c:order val="1"/>
          <c:tx>
            <c:strRef>
              <c:f>"From battery"</c:f>
              <c:strCache>
                <c:ptCount val="1"/>
                <c:pt idx="0">
                  <c:v>From battery</c:v>
                </c:pt>
              </c:strCache>
            </c:strRef>
          </c:tx>
          <c:spPr>
            <a:solidFill>
              <a:srgbClr val="7a7a7a"/>
            </a:solidFill>
            <a:ln w="0">
              <a:solidFill>
                <a:srgbClr val="7a7a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Runs!$A$2:$A$8</c:f>
              <c:strCache>
                <c:ptCount val="7"/>
                <c:pt idx="0">
                  <c:v>Sun 1</c:v>
                </c:pt>
                <c:pt idx="1">
                  <c:v>Sun 2</c:v>
                </c:pt>
                <c:pt idx="2">
                  <c:v>Sun 3</c:v>
                </c:pt>
                <c:pt idx="3">
                  <c:v>Sun 4</c:v>
                </c:pt>
                <c:pt idx="4">
                  <c:v>Sun 5</c:v>
                </c:pt>
                <c:pt idx="5">
                  <c:v>Sun 6</c:v>
                </c:pt>
                <c:pt idx="6">
                  <c:v>Sun 7</c:v>
                </c:pt>
              </c:strCache>
            </c:strRef>
          </c:cat>
          <c:val>
            <c:numRef>
              <c:f>Runs!$S$2:$S$8</c:f>
              <c:numCache>
                <c:formatCode>0.0</c:formatCode>
                <c:ptCount val="7"/>
                <c:pt idx="0">
                  <c:v>-1.94214798999999</c:v>
                </c:pt>
                <c:pt idx="1">
                  <c:v>6.57284019999994</c:v>
                </c:pt>
                <c:pt idx="2">
                  <c:v>10.0184388</c:v>
                </c:pt>
                <c:pt idx="3">
                  <c:v>0.584711630000107</c:v>
                </c:pt>
                <c:pt idx="4">
                  <c:v>3.85691139999997</c:v>
                </c:pt>
                <c:pt idx="5">
                  <c:v>5.39743539999982</c:v>
                </c:pt>
                <c:pt idx="6">
                  <c:v>6.24268359999988</c:v>
                </c:pt>
              </c:numCache>
            </c:numRef>
          </c:val>
        </c:ser>
        <c:gapWidth val="60"/>
        <c:overlap val="0"/>
        <c:axId val="97104806"/>
        <c:axId val="34016137"/>
      </c:barChart>
      <c:catAx>
        <c:axId val="97104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16137"/>
        <c:crosses val="autoZero"/>
        <c:auto val="1"/>
        <c:lblAlgn val="ctr"/>
        <c:lblOffset val="100"/>
        <c:noMultiLvlLbl val="0"/>
      </c:catAx>
      <c:valAx>
        <c:axId val="34016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 (J)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048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 — shade runs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"Shade 1"</c:f>
              <c:strCache>
                <c:ptCount val="1"/>
                <c:pt idx="0">
                  <c:v>Shade 1</c:v>
                </c:pt>
              </c:strCache>
            </c:strRef>
          </c:tx>
          <c:spPr>
            <a:solidFill>
              <a:srgbClr val="9fc2ec"/>
            </a:solidFill>
            <a:ln w="19080">
              <a:solidFill>
                <a:srgbClr val="9fc2e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Profiles!$AQ$3:$AQ$66</c:f>
              <c:numCache>
                <c:formatCode>General</c:formatCode>
                <c:ptCount val="64"/>
                <c:pt idx="0">
                  <c:v>0</c:v>
                </c:pt>
                <c:pt idx="1">
                  <c:v>0.2</c:v>
                </c:pt>
                <c:pt idx="2">
                  <c:v>0.41</c:v>
                </c:pt>
                <c:pt idx="3">
                  <c:v>0.61</c:v>
                </c:pt>
                <c:pt idx="4">
                  <c:v>0.81</c:v>
                </c:pt>
                <c:pt idx="5">
                  <c:v>1.02</c:v>
                </c:pt>
                <c:pt idx="6">
                  <c:v>1.22</c:v>
                </c:pt>
                <c:pt idx="7">
                  <c:v>1.42</c:v>
                </c:pt>
                <c:pt idx="8">
                  <c:v>1.62</c:v>
                </c:pt>
                <c:pt idx="9">
                  <c:v>1.82</c:v>
                </c:pt>
                <c:pt idx="10">
                  <c:v>2.02</c:v>
                </c:pt>
                <c:pt idx="11">
                  <c:v>2.22</c:v>
                </c:pt>
                <c:pt idx="12">
                  <c:v>2.42</c:v>
                </c:pt>
                <c:pt idx="13">
                  <c:v>2.62</c:v>
                </c:pt>
                <c:pt idx="14">
                  <c:v>2.82</c:v>
                </c:pt>
                <c:pt idx="15">
                  <c:v>3.02</c:v>
                </c:pt>
                <c:pt idx="16">
                  <c:v>3.22</c:v>
                </c:pt>
                <c:pt idx="17">
                  <c:v>3.42</c:v>
                </c:pt>
                <c:pt idx="18">
                  <c:v>3.62</c:v>
                </c:pt>
                <c:pt idx="19">
                  <c:v>3.82</c:v>
                </c:pt>
                <c:pt idx="20">
                  <c:v>4.02</c:v>
                </c:pt>
                <c:pt idx="21">
                  <c:v>4.22</c:v>
                </c:pt>
                <c:pt idx="22">
                  <c:v>4.42</c:v>
                </c:pt>
                <c:pt idx="23">
                  <c:v>4.62</c:v>
                </c:pt>
                <c:pt idx="24">
                  <c:v>4.82</c:v>
                </c:pt>
                <c:pt idx="25">
                  <c:v>5.02</c:v>
                </c:pt>
                <c:pt idx="26">
                  <c:v>5.22</c:v>
                </c:pt>
                <c:pt idx="27">
                  <c:v>5.42</c:v>
                </c:pt>
                <c:pt idx="28">
                  <c:v>5.62</c:v>
                </c:pt>
                <c:pt idx="29">
                  <c:v>5.82</c:v>
                </c:pt>
                <c:pt idx="30">
                  <c:v>6.02</c:v>
                </c:pt>
                <c:pt idx="31">
                  <c:v>6.22</c:v>
                </c:pt>
                <c:pt idx="32">
                  <c:v>6.42</c:v>
                </c:pt>
                <c:pt idx="33">
                  <c:v>6.62</c:v>
                </c:pt>
                <c:pt idx="34">
                  <c:v>6.82</c:v>
                </c:pt>
                <c:pt idx="35">
                  <c:v>7.02</c:v>
                </c:pt>
                <c:pt idx="36">
                  <c:v>7.22</c:v>
                </c:pt>
                <c:pt idx="37">
                  <c:v>7.42</c:v>
                </c:pt>
                <c:pt idx="38">
                  <c:v>7.62</c:v>
                </c:pt>
                <c:pt idx="39">
                  <c:v>7.82</c:v>
                </c:pt>
                <c:pt idx="40">
                  <c:v>8.02</c:v>
                </c:pt>
                <c:pt idx="41">
                  <c:v>8.22</c:v>
                </c:pt>
                <c:pt idx="42">
                  <c:v>8.42</c:v>
                </c:pt>
                <c:pt idx="43">
                  <c:v>8.62</c:v>
                </c:pt>
                <c:pt idx="44">
                  <c:v>8.82</c:v>
                </c:pt>
                <c:pt idx="45">
                  <c:v>9.02</c:v>
                </c:pt>
                <c:pt idx="46">
                  <c:v>9.22</c:v>
                </c:pt>
                <c:pt idx="47">
                  <c:v>9.42</c:v>
                </c:pt>
                <c:pt idx="48">
                  <c:v>9.62</c:v>
                </c:pt>
                <c:pt idx="49">
                  <c:v>9.82</c:v>
                </c:pt>
                <c:pt idx="50">
                  <c:v>10.02</c:v>
                </c:pt>
                <c:pt idx="51">
                  <c:v>10.22</c:v>
                </c:pt>
                <c:pt idx="52">
                  <c:v>10.42</c:v>
                </c:pt>
                <c:pt idx="53">
                  <c:v>10.62</c:v>
                </c:pt>
                <c:pt idx="54">
                  <c:v>10.82</c:v>
                </c:pt>
                <c:pt idx="55">
                  <c:v>11.02</c:v>
                </c:pt>
                <c:pt idx="56">
                  <c:v>11.22</c:v>
                </c:pt>
                <c:pt idx="57">
                  <c:v>11.42</c:v>
                </c:pt>
                <c:pt idx="58">
                  <c:v>11.62</c:v>
                </c:pt>
                <c:pt idx="59">
                  <c:v>11.82</c:v>
                </c:pt>
                <c:pt idx="60">
                  <c:v>12.02</c:v>
                </c:pt>
                <c:pt idx="61">
                  <c:v>12.22</c:v>
                </c:pt>
                <c:pt idx="62">
                  <c:v>12.42</c:v>
                </c:pt>
                <c:pt idx="63">
                  <c:v>12.62</c:v>
                </c:pt>
              </c:numCache>
            </c:numRef>
          </c:xVal>
          <c:yVal>
            <c:numRef>
              <c:f>Profiles!$AR$3:$AR$66</c:f>
              <c:numCache>
                <c:formatCode>General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0.013</c:v>
                </c:pt>
                <c:pt idx="3">
                  <c:v>0</c:v>
                </c:pt>
                <c:pt idx="4">
                  <c:v>0.095</c:v>
                </c:pt>
                <c:pt idx="5">
                  <c:v>0.095</c:v>
                </c:pt>
                <c:pt idx="6">
                  <c:v>0.204</c:v>
                </c:pt>
                <c:pt idx="7">
                  <c:v>0.585</c:v>
                </c:pt>
                <c:pt idx="8">
                  <c:v>0.68</c:v>
                </c:pt>
                <c:pt idx="9">
                  <c:v>0.517</c:v>
                </c:pt>
                <c:pt idx="10">
                  <c:v>0.517</c:v>
                </c:pt>
                <c:pt idx="11">
                  <c:v>0.667</c:v>
                </c:pt>
                <c:pt idx="12">
                  <c:v>0.694</c:v>
                </c:pt>
                <c:pt idx="13">
                  <c:v>0.53</c:v>
                </c:pt>
                <c:pt idx="14">
                  <c:v>0.367</c:v>
                </c:pt>
                <c:pt idx="15">
                  <c:v>0.367</c:v>
                </c:pt>
                <c:pt idx="16">
                  <c:v>0.326</c:v>
                </c:pt>
                <c:pt idx="17">
                  <c:v>0.353</c:v>
                </c:pt>
                <c:pt idx="18">
                  <c:v>0.49</c:v>
                </c:pt>
                <c:pt idx="19">
                  <c:v>0.68</c:v>
                </c:pt>
                <c:pt idx="20">
                  <c:v>0.68</c:v>
                </c:pt>
                <c:pt idx="21">
                  <c:v>0.721</c:v>
                </c:pt>
                <c:pt idx="22">
                  <c:v>0.68</c:v>
                </c:pt>
                <c:pt idx="23">
                  <c:v>0.707</c:v>
                </c:pt>
                <c:pt idx="24">
                  <c:v>0.612</c:v>
                </c:pt>
                <c:pt idx="25">
                  <c:v>0.612</c:v>
                </c:pt>
                <c:pt idx="26">
                  <c:v>0.558</c:v>
                </c:pt>
                <c:pt idx="27">
                  <c:v>0.503</c:v>
                </c:pt>
                <c:pt idx="28">
                  <c:v>0.462</c:v>
                </c:pt>
                <c:pt idx="29">
                  <c:v>0.435</c:v>
                </c:pt>
                <c:pt idx="30">
                  <c:v>0.435</c:v>
                </c:pt>
                <c:pt idx="31">
                  <c:v>0.449</c:v>
                </c:pt>
                <c:pt idx="32">
                  <c:v>0.422</c:v>
                </c:pt>
                <c:pt idx="33">
                  <c:v>0.462</c:v>
                </c:pt>
                <c:pt idx="34">
                  <c:v>0.422</c:v>
                </c:pt>
                <c:pt idx="35">
                  <c:v>0.422</c:v>
                </c:pt>
                <c:pt idx="36">
                  <c:v>0.435</c:v>
                </c:pt>
                <c:pt idx="37">
                  <c:v>0.449</c:v>
                </c:pt>
                <c:pt idx="38">
                  <c:v>0.435</c:v>
                </c:pt>
                <c:pt idx="39">
                  <c:v>0.449</c:v>
                </c:pt>
                <c:pt idx="40">
                  <c:v>0.449</c:v>
                </c:pt>
                <c:pt idx="41">
                  <c:v>0.408</c:v>
                </c:pt>
                <c:pt idx="42">
                  <c:v>0.381</c:v>
                </c:pt>
                <c:pt idx="43">
                  <c:v>0.503</c:v>
                </c:pt>
                <c:pt idx="44">
                  <c:v>0.68</c:v>
                </c:pt>
                <c:pt idx="45">
                  <c:v>0.68</c:v>
                </c:pt>
                <c:pt idx="46">
                  <c:v>0.571</c:v>
                </c:pt>
                <c:pt idx="47">
                  <c:v>0.503</c:v>
                </c:pt>
                <c:pt idx="48">
                  <c:v>0.476</c:v>
                </c:pt>
                <c:pt idx="49">
                  <c:v>0.49</c:v>
                </c:pt>
                <c:pt idx="50">
                  <c:v>0.49</c:v>
                </c:pt>
                <c:pt idx="51">
                  <c:v>0.639</c:v>
                </c:pt>
                <c:pt idx="52">
                  <c:v>0.694</c:v>
                </c:pt>
                <c:pt idx="53">
                  <c:v>0.68</c:v>
                </c:pt>
                <c:pt idx="54">
                  <c:v>0.68</c:v>
                </c:pt>
                <c:pt idx="55">
                  <c:v>0.68</c:v>
                </c:pt>
                <c:pt idx="56">
                  <c:v>0.598</c:v>
                </c:pt>
                <c:pt idx="57">
                  <c:v>0.34</c:v>
                </c:pt>
                <c:pt idx="58">
                  <c:v>0.353</c:v>
                </c:pt>
                <c:pt idx="59">
                  <c:v>0.353</c:v>
                </c:pt>
                <c:pt idx="60">
                  <c:v>0.353</c:v>
                </c:pt>
                <c:pt idx="61">
                  <c:v>0.258</c:v>
                </c:pt>
                <c:pt idx="62">
                  <c:v>0.136</c:v>
                </c:pt>
                <c:pt idx="63">
                  <c:v>0.013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"Shade 2"</c:f>
              <c:strCache>
                <c:ptCount val="1"/>
                <c:pt idx="0">
                  <c:v>Shade 2</c:v>
                </c:pt>
              </c:strCache>
            </c:strRef>
          </c:tx>
          <c:spPr>
            <a:solidFill>
              <a:srgbClr val="78a9e5"/>
            </a:solidFill>
            <a:ln w="19080">
              <a:solidFill>
                <a:srgbClr val="78a9e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Profiles!$AW$3:$AW$22</c:f>
              <c:numCache>
                <c:formatCode>General</c:formatCode>
                <c:ptCount val="2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</c:numCache>
            </c:numRef>
          </c:xVal>
          <c:yVal>
            <c:numRef>
              <c:f>Profiles!$AX$3:$AX$22</c:f>
              <c:numCache>
                <c:formatCode>General</c:formatCode>
                <c:ptCount val="20"/>
                <c:pt idx="0">
                  <c:v>0.013</c:v>
                </c:pt>
                <c:pt idx="1">
                  <c:v>0.013</c:v>
                </c:pt>
                <c:pt idx="2">
                  <c:v>0.122</c:v>
                </c:pt>
                <c:pt idx="3">
                  <c:v>0.299</c:v>
                </c:pt>
                <c:pt idx="4">
                  <c:v>0.394</c:v>
                </c:pt>
                <c:pt idx="5">
                  <c:v>0.408</c:v>
                </c:pt>
                <c:pt idx="6">
                  <c:v>0.408</c:v>
                </c:pt>
                <c:pt idx="7">
                  <c:v>0.707</c:v>
                </c:pt>
                <c:pt idx="8">
                  <c:v>0.694</c:v>
                </c:pt>
                <c:pt idx="9">
                  <c:v>0.735</c:v>
                </c:pt>
                <c:pt idx="10">
                  <c:v>0.735</c:v>
                </c:pt>
                <c:pt idx="11">
                  <c:v>0.735</c:v>
                </c:pt>
                <c:pt idx="12">
                  <c:v>0.598</c:v>
                </c:pt>
                <c:pt idx="13">
                  <c:v>0.49</c:v>
                </c:pt>
                <c:pt idx="14">
                  <c:v>0.53</c:v>
                </c:pt>
                <c:pt idx="15">
                  <c:v>0.381</c:v>
                </c:pt>
                <c:pt idx="16">
                  <c:v>0.381</c:v>
                </c:pt>
                <c:pt idx="17">
                  <c:v>0.136</c:v>
                </c:pt>
                <c:pt idx="18">
                  <c:v>0.04</c:v>
                </c:pt>
                <c:pt idx="1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"Shade 3"</c:f>
              <c:strCache>
                <c:ptCount val="1"/>
                <c:pt idx="0">
                  <c:v>Shade 3</c:v>
                </c:pt>
              </c:strCache>
            </c:strRef>
          </c:tx>
          <c:spPr>
            <a:solidFill>
              <a:srgbClr val="5190dd"/>
            </a:solidFill>
            <a:ln w="19080">
              <a:solidFill>
                <a:srgbClr val="5190d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Profiles!$BC$3:$BC$20</c:f>
              <c:numCache>
                <c:formatCode>General</c:formatCode>
                <c:ptCount val="1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2.63</c:v>
                </c:pt>
                <c:pt idx="14">
                  <c:v>2.81</c:v>
                </c:pt>
                <c:pt idx="15">
                  <c:v>3.01</c:v>
                </c:pt>
                <c:pt idx="16">
                  <c:v>3.22</c:v>
                </c:pt>
                <c:pt idx="17">
                  <c:v>3.42</c:v>
                </c:pt>
              </c:numCache>
            </c:numRef>
          </c:xVal>
          <c:yVal>
            <c:numRef>
              <c:f>Profiles!$BD$3:$BD$20</c:f>
              <c:numCache>
                <c:formatCode>General</c:formatCode>
                <c:ptCount val="18"/>
                <c:pt idx="0">
                  <c:v>0.027</c:v>
                </c:pt>
                <c:pt idx="1">
                  <c:v>0.027</c:v>
                </c:pt>
                <c:pt idx="2">
                  <c:v>0.231</c:v>
                </c:pt>
                <c:pt idx="3">
                  <c:v>0.503</c:v>
                </c:pt>
                <c:pt idx="4">
                  <c:v>0.694</c:v>
                </c:pt>
                <c:pt idx="5">
                  <c:v>0.68</c:v>
                </c:pt>
                <c:pt idx="6">
                  <c:v>0.68</c:v>
                </c:pt>
                <c:pt idx="7">
                  <c:v>0.544</c:v>
                </c:pt>
                <c:pt idx="8">
                  <c:v>0.68</c:v>
                </c:pt>
                <c:pt idx="9">
                  <c:v>0.694</c:v>
                </c:pt>
                <c:pt idx="10">
                  <c:v>0.694</c:v>
                </c:pt>
                <c:pt idx="11">
                  <c:v>0.694</c:v>
                </c:pt>
                <c:pt idx="12">
                  <c:v>0.68</c:v>
                </c:pt>
                <c:pt idx="13">
                  <c:v>0.585</c:v>
                </c:pt>
                <c:pt idx="14">
                  <c:v>0.653</c:v>
                </c:pt>
                <c:pt idx="15">
                  <c:v>0.367</c:v>
                </c:pt>
                <c:pt idx="16">
                  <c:v>0.367</c:v>
                </c:pt>
                <c:pt idx="17">
                  <c:v>0.136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"Shade 4"</c:f>
              <c:strCache>
                <c:ptCount val="1"/>
                <c:pt idx="0">
                  <c:v>Shade 4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Profiles!$BI$3:$BI$20</c:f>
              <c:numCache>
                <c:formatCode>General</c:formatCode>
                <c:ptCount val="18"/>
                <c:pt idx="0">
                  <c:v>0</c:v>
                </c:pt>
                <c:pt idx="1">
                  <c:v>0.18</c:v>
                </c:pt>
                <c:pt idx="2">
                  <c:v>0.38</c:v>
                </c:pt>
                <c:pt idx="3">
                  <c:v>0.59</c:v>
                </c:pt>
                <c:pt idx="4">
                  <c:v>0.78</c:v>
                </c:pt>
                <c:pt idx="5">
                  <c:v>0.98</c:v>
                </c:pt>
                <c:pt idx="6">
                  <c:v>1.18</c:v>
                </c:pt>
                <c:pt idx="7">
                  <c:v>1.38</c:v>
                </c:pt>
                <c:pt idx="8">
                  <c:v>1.58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</c:numCache>
            </c:numRef>
          </c:xVal>
          <c:yVal>
            <c:numRef>
              <c:f>Profiles!$BJ$3:$BJ$20</c:f>
              <c:numCache>
                <c:formatCode>General</c:formatCode>
                <c:ptCount val="18"/>
                <c:pt idx="0">
                  <c:v>0</c:v>
                </c:pt>
                <c:pt idx="1">
                  <c:v>0.013</c:v>
                </c:pt>
                <c:pt idx="2">
                  <c:v>0.353</c:v>
                </c:pt>
                <c:pt idx="3">
                  <c:v>0.598</c:v>
                </c:pt>
                <c:pt idx="4">
                  <c:v>0.598</c:v>
                </c:pt>
                <c:pt idx="5">
                  <c:v>0.694</c:v>
                </c:pt>
                <c:pt idx="6">
                  <c:v>0.68</c:v>
                </c:pt>
                <c:pt idx="7">
                  <c:v>0.653</c:v>
                </c:pt>
                <c:pt idx="8">
                  <c:v>0.694</c:v>
                </c:pt>
                <c:pt idx="9">
                  <c:v>0.694</c:v>
                </c:pt>
                <c:pt idx="10">
                  <c:v>0.694</c:v>
                </c:pt>
                <c:pt idx="11">
                  <c:v>0.68</c:v>
                </c:pt>
                <c:pt idx="12">
                  <c:v>0.696</c:v>
                </c:pt>
                <c:pt idx="13">
                  <c:v>0.517</c:v>
                </c:pt>
                <c:pt idx="14">
                  <c:v>0.517</c:v>
                </c:pt>
                <c:pt idx="15">
                  <c:v>0.231</c:v>
                </c:pt>
                <c:pt idx="16">
                  <c:v>0.04</c:v>
                </c:pt>
                <c:pt idx="17">
                  <c:v>0</c:v>
                </c:pt>
              </c:numCache>
            </c:numRef>
          </c:yVal>
          <c:smooth val="0"/>
        </c:ser>
        <c:axId val="70361110"/>
        <c:axId val="63377386"/>
      </c:scatterChart>
      <c:valAx>
        <c:axId val="703611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77386"/>
        <c:crosses val="autoZero"/>
        <c:crossBetween val="midCat"/>
      </c:valAx>
      <c:valAx>
        <c:axId val="63377386"/>
        <c:scaling>
          <c:orientation val="minMax"/>
          <c:max val="0.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6111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Load power — shade runs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"Shade 1"</c:f>
              <c:strCache>
                <c:ptCount val="1"/>
                <c:pt idx="0">
                  <c:v>Shade 1</c:v>
                </c:pt>
              </c:strCache>
            </c:strRef>
          </c:tx>
          <c:spPr>
            <a:solidFill>
              <a:srgbClr val="9fc2ec"/>
            </a:solidFill>
            <a:ln w="19080">
              <a:solidFill>
                <a:srgbClr val="9fc2e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Profiles!$AQ$3:$AQ$66</c:f>
              <c:numCache>
                <c:formatCode>General</c:formatCode>
                <c:ptCount val="64"/>
                <c:pt idx="0">
                  <c:v>0</c:v>
                </c:pt>
                <c:pt idx="1">
                  <c:v>0.2</c:v>
                </c:pt>
                <c:pt idx="2">
                  <c:v>0.41</c:v>
                </c:pt>
                <c:pt idx="3">
                  <c:v>0.61</c:v>
                </c:pt>
                <c:pt idx="4">
                  <c:v>0.81</c:v>
                </c:pt>
                <c:pt idx="5">
                  <c:v>1.02</c:v>
                </c:pt>
                <c:pt idx="6">
                  <c:v>1.22</c:v>
                </c:pt>
                <c:pt idx="7">
                  <c:v>1.42</c:v>
                </c:pt>
                <c:pt idx="8">
                  <c:v>1.62</c:v>
                </c:pt>
                <c:pt idx="9">
                  <c:v>1.82</c:v>
                </c:pt>
                <c:pt idx="10">
                  <c:v>2.02</c:v>
                </c:pt>
                <c:pt idx="11">
                  <c:v>2.22</c:v>
                </c:pt>
                <c:pt idx="12">
                  <c:v>2.42</c:v>
                </c:pt>
                <c:pt idx="13">
                  <c:v>2.62</c:v>
                </c:pt>
                <c:pt idx="14">
                  <c:v>2.82</c:v>
                </c:pt>
                <c:pt idx="15">
                  <c:v>3.02</c:v>
                </c:pt>
                <c:pt idx="16">
                  <c:v>3.22</c:v>
                </c:pt>
                <c:pt idx="17">
                  <c:v>3.42</c:v>
                </c:pt>
                <c:pt idx="18">
                  <c:v>3.62</c:v>
                </c:pt>
                <c:pt idx="19">
                  <c:v>3.82</c:v>
                </c:pt>
                <c:pt idx="20">
                  <c:v>4.02</c:v>
                </c:pt>
                <c:pt idx="21">
                  <c:v>4.22</c:v>
                </c:pt>
                <c:pt idx="22">
                  <c:v>4.42</c:v>
                </c:pt>
                <c:pt idx="23">
                  <c:v>4.62</c:v>
                </c:pt>
                <c:pt idx="24">
                  <c:v>4.82</c:v>
                </c:pt>
                <c:pt idx="25">
                  <c:v>5.02</c:v>
                </c:pt>
                <c:pt idx="26">
                  <c:v>5.22</c:v>
                </c:pt>
                <c:pt idx="27">
                  <c:v>5.42</c:v>
                </c:pt>
                <c:pt idx="28">
                  <c:v>5.62</c:v>
                </c:pt>
                <c:pt idx="29">
                  <c:v>5.82</c:v>
                </c:pt>
                <c:pt idx="30">
                  <c:v>6.02</c:v>
                </c:pt>
                <c:pt idx="31">
                  <c:v>6.22</c:v>
                </c:pt>
                <c:pt idx="32">
                  <c:v>6.42</c:v>
                </c:pt>
                <c:pt idx="33">
                  <c:v>6.62</c:v>
                </c:pt>
                <c:pt idx="34">
                  <c:v>6.82</c:v>
                </c:pt>
                <c:pt idx="35">
                  <c:v>7.02</c:v>
                </c:pt>
                <c:pt idx="36">
                  <c:v>7.22</c:v>
                </c:pt>
                <c:pt idx="37">
                  <c:v>7.42</c:v>
                </c:pt>
                <c:pt idx="38">
                  <c:v>7.62</c:v>
                </c:pt>
                <c:pt idx="39">
                  <c:v>7.82</c:v>
                </c:pt>
                <c:pt idx="40">
                  <c:v>8.02</c:v>
                </c:pt>
                <c:pt idx="41">
                  <c:v>8.22</c:v>
                </c:pt>
                <c:pt idx="42">
                  <c:v>8.42</c:v>
                </c:pt>
                <c:pt idx="43">
                  <c:v>8.62</c:v>
                </c:pt>
                <c:pt idx="44">
                  <c:v>8.82</c:v>
                </c:pt>
                <c:pt idx="45">
                  <c:v>9.02</c:v>
                </c:pt>
                <c:pt idx="46">
                  <c:v>9.22</c:v>
                </c:pt>
                <c:pt idx="47">
                  <c:v>9.42</c:v>
                </c:pt>
                <c:pt idx="48">
                  <c:v>9.62</c:v>
                </c:pt>
                <c:pt idx="49">
                  <c:v>9.82</c:v>
                </c:pt>
                <c:pt idx="50">
                  <c:v>10.02</c:v>
                </c:pt>
                <c:pt idx="51">
                  <c:v>10.22</c:v>
                </c:pt>
                <c:pt idx="52">
                  <c:v>10.42</c:v>
                </c:pt>
                <c:pt idx="53">
                  <c:v>10.62</c:v>
                </c:pt>
                <c:pt idx="54">
                  <c:v>10.82</c:v>
                </c:pt>
                <c:pt idx="55">
                  <c:v>11.02</c:v>
                </c:pt>
                <c:pt idx="56">
                  <c:v>11.22</c:v>
                </c:pt>
                <c:pt idx="57">
                  <c:v>11.42</c:v>
                </c:pt>
                <c:pt idx="58">
                  <c:v>11.62</c:v>
                </c:pt>
                <c:pt idx="59">
                  <c:v>11.82</c:v>
                </c:pt>
                <c:pt idx="60">
                  <c:v>12.02</c:v>
                </c:pt>
                <c:pt idx="61">
                  <c:v>12.22</c:v>
                </c:pt>
                <c:pt idx="62">
                  <c:v>12.42</c:v>
                </c:pt>
                <c:pt idx="63">
                  <c:v>12.62</c:v>
                </c:pt>
              </c:numCache>
            </c:numRef>
          </c:xVal>
          <c:yVal>
            <c:numRef>
              <c:f>Profiles!$AS$3:$AS$66</c:f>
              <c:numCache>
                <c:formatCode>General</c:formatCode>
                <c:ptCount val="64"/>
                <c:pt idx="0">
                  <c:v>1.328</c:v>
                </c:pt>
                <c:pt idx="1">
                  <c:v>3.719</c:v>
                </c:pt>
                <c:pt idx="2">
                  <c:v>4.672</c:v>
                </c:pt>
                <c:pt idx="3">
                  <c:v>5.284</c:v>
                </c:pt>
                <c:pt idx="4">
                  <c:v>6.398</c:v>
                </c:pt>
                <c:pt idx="5">
                  <c:v>9.969</c:v>
                </c:pt>
                <c:pt idx="6">
                  <c:v>6.589</c:v>
                </c:pt>
                <c:pt idx="7">
                  <c:v>6.665</c:v>
                </c:pt>
                <c:pt idx="8">
                  <c:v>5.704</c:v>
                </c:pt>
                <c:pt idx="9">
                  <c:v>6.633</c:v>
                </c:pt>
                <c:pt idx="10">
                  <c:v>5.973</c:v>
                </c:pt>
                <c:pt idx="11">
                  <c:v>6.354</c:v>
                </c:pt>
                <c:pt idx="12">
                  <c:v>6.259</c:v>
                </c:pt>
                <c:pt idx="13">
                  <c:v>5.463</c:v>
                </c:pt>
                <c:pt idx="14">
                  <c:v>5.587</c:v>
                </c:pt>
                <c:pt idx="15">
                  <c:v>6.006</c:v>
                </c:pt>
                <c:pt idx="16">
                  <c:v>6.671</c:v>
                </c:pt>
                <c:pt idx="17">
                  <c:v>5.793</c:v>
                </c:pt>
                <c:pt idx="18">
                  <c:v>5.793</c:v>
                </c:pt>
                <c:pt idx="19">
                  <c:v>6.211</c:v>
                </c:pt>
                <c:pt idx="20">
                  <c:v>5.419</c:v>
                </c:pt>
                <c:pt idx="21">
                  <c:v>6.149</c:v>
                </c:pt>
                <c:pt idx="22">
                  <c:v>6.15</c:v>
                </c:pt>
                <c:pt idx="23">
                  <c:v>5.743</c:v>
                </c:pt>
                <c:pt idx="24">
                  <c:v>4.85</c:v>
                </c:pt>
                <c:pt idx="25">
                  <c:v>5.983</c:v>
                </c:pt>
                <c:pt idx="26">
                  <c:v>6.569</c:v>
                </c:pt>
                <c:pt idx="27">
                  <c:v>6.345</c:v>
                </c:pt>
                <c:pt idx="28">
                  <c:v>6.497</c:v>
                </c:pt>
                <c:pt idx="29">
                  <c:v>6.4</c:v>
                </c:pt>
                <c:pt idx="30">
                  <c:v>6.949</c:v>
                </c:pt>
                <c:pt idx="31">
                  <c:v>6.717</c:v>
                </c:pt>
                <c:pt idx="32">
                  <c:v>6.62</c:v>
                </c:pt>
                <c:pt idx="33">
                  <c:v>6.545</c:v>
                </c:pt>
                <c:pt idx="34">
                  <c:v>6.361</c:v>
                </c:pt>
                <c:pt idx="35">
                  <c:v>6.287</c:v>
                </c:pt>
                <c:pt idx="36">
                  <c:v>6.675</c:v>
                </c:pt>
                <c:pt idx="37">
                  <c:v>6.92</c:v>
                </c:pt>
                <c:pt idx="38">
                  <c:v>7.096</c:v>
                </c:pt>
                <c:pt idx="39">
                  <c:v>6.899</c:v>
                </c:pt>
                <c:pt idx="40">
                  <c:v>6.17</c:v>
                </c:pt>
                <c:pt idx="41">
                  <c:v>6.215</c:v>
                </c:pt>
                <c:pt idx="42">
                  <c:v>9.776</c:v>
                </c:pt>
                <c:pt idx="43">
                  <c:v>7.384</c:v>
                </c:pt>
                <c:pt idx="44">
                  <c:v>4.246</c:v>
                </c:pt>
                <c:pt idx="45">
                  <c:v>5.612</c:v>
                </c:pt>
                <c:pt idx="46">
                  <c:v>6.079</c:v>
                </c:pt>
                <c:pt idx="47">
                  <c:v>5.56</c:v>
                </c:pt>
                <c:pt idx="48">
                  <c:v>7.031</c:v>
                </c:pt>
                <c:pt idx="49">
                  <c:v>8.157</c:v>
                </c:pt>
                <c:pt idx="50">
                  <c:v>6.395</c:v>
                </c:pt>
                <c:pt idx="51">
                  <c:v>5.384</c:v>
                </c:pt>
                <c:pt idx="52">
                  <c:v>5.456</c:v>
                </c:pt>
                <c:pt idx="53">
                  <c:v>6.617</c:v>
                </c:pt>
                <c:pt idx="54">
                  <c:v>5.719</c:v>
                </c:pt>
                <c:pt idx="55">
                  <c:v>5.686</c:v>
                </c:pt>
                <c:pt idx="56">
                  <c:v>4.934</c:v>
                </c:pt>
                <c:pt idx="57">
                  <c:v>6.314</c:v>
                </c:pt>
                <c:pt idx="58">
                  <c:v>5.679</c:v>
                </c:pt>
                <c:pt idx="59">
                  <c:v>2.066</c:v>
                </c:pt>
                <c:pt idx="60">
                  <c:v>1.315</c:v>
                </c:pt>
                <c:pt idx="61">
                  <c:v>1.307</c:v>
                </c:pt>
                <c:pt idx="62">
                  <c:v>1.312</c:v>
                </c:pt>
                <c:pt idx="63">
                  <c:v>1.307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"Shade 2"</c:f>
              <c:strCache>
                <c:ptCount val="1"/>
                <c:pt idx="0">
                  <c:v>Shade 2</c:v>
                </c:pt>
              </c:strCache>
            </c:strRef>
          </c:tx>
          <c:spPr>
            <a:solidFill>
              <a:srgbClr val="78a9e5"/>
            </a:solidFill>
            <a:ln w="19080">
              <a:solidFill>
                <a:srgbClr val="78a9e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Profiles!$AW$3:$AW$22</c:f>
              <c:numCache>
                <c:formatCode>General</c:formatCode>
                <c:ptCount val="2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</c:numCache>
            </c:numRef>
          </c:xVal>
          <c:yVal>
            <c:numRef>
              <c:f>Profiles!$AY$3:$AY$22</c:f>
              <c:numCache>
                <c:formatCode>General</c:formatCode>
                <c:ptCount val="20"/>
                <c:pt idx="0">
                  <c:v>8.213</c:v>
                </c:pt>
                <c:pt idx="1">
                  <c:v>11.498</c:v>
                </c:pt>
                <c:pt idx="2">
                  <c:v>8.278</c:v>
                </c:pt>
                <c:pt idx="3">
                  <c:v>7.789</c:v>
                </c:pt>
                <c:pt idx="4">
                  <c:v>6.432</c:v>
                </c:pt>
                <c:pt idx="5">
                  <c:v>6.938</c:v>
                </c:pt>
                <c:pt idx="6">
                  <c:v>6.434</c:v>
                </c:pt>
                <c:pt idx="7">
                  <c:v>5.956</c:v>
                </c:pt>
                <c:pt idx="8">
                  <c:v>5.671</c:v>
                </c:pt>
                <c:pt idx="9">
                  <c:v>5.636</c:v>
                </c:pt>
                <c:pt idx="10">
                  <c:v>5.399</c:v>
                </c:pt>
                <c:pt idx="11">
                  <c:v>5.578</c:v>
                </c:pt>
                <c:pt idx="12">
                  <c:v>5.047</c:v>
                </c:pt>
                <c:pt idx="13">
                  <c:v>5.737</c:v>
                </c:pt>
                <c:pt idx="14">
                  <c:v>2.293</c:v>
                </c:pt>
                <c:pt idx="15">
                  <c:v>1.309</c:v>
                </c:pt>
                <c:pt idx="16">
                  <c:v>1.557</c:v>
                </c:pt>
                <c:pt idx="17">
                  <c:v>1.329</c:v>
                </c:pt>
                <c:pt idx="18">
                  <c:v>1.32</c:v>
                </c:pt>
                <c:pt idx="19">
                  <c:v>1.317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"Shade 3"</c:f>
              <c:strCache>
                <c:ptCount val="1"/>
                <c:pt idx="0">
                  <c:v>Shade 3</c:v>
                </c:pt>
              </c:strCache>
            </c:strRef>
          </c:tx>
          <c:spPr>
            <a:solidFill>
              <a:srgbClr val="5190dd"/>
            </a:solidFill>
            <a:ln w="19080">
              <a:solidFill>
                <a:srgbClr val="5190d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Profiles!$BC$3:$BC$20</c:f>
              <c:numCache>
                <c:formatCode>General</c:formatCode>
                <c:ptCount val="1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2.63</c:v>
                </c:pt>
                <c:pt idx="14">
                  <c:v>2.81</c:v>
                </c:pt>
                <c:pt idx="15">
                  <c:v>3.01</c:v>
                </c:pt>
                <c:pt idx="16">
                  <c:v>3.22</c:v>
                </c:pt>
                <c:pt idx="17">
                  <c:v>3.42</c:v>
                </c:pt>
              </c:numCache>
            </c:numRef>
          </c:xVal>
          <c:yVal>
            <c:numRef>
              <c:f>Profiles!$BE$3:$BE$20</c:f>
              <c:numCache>
                <c:formatCode>General</c:formatCode>
                <c:ptCount val="18"/>
                <c:pt idx="0">
                  <c:v>9.223</c:v>
                </c:pt>
                <c:pt idx="1">
                  <c:v>11.021</c:v>
                </c:pt>
                <c:pt idx="2">
                  <c:v>6.557</c:v>
                </c:pt>
                <c:pt idx="3">
                  <c:v>6.154</c:v>
                </c:pt>
                <c:pt idx="4">
                  <c:v>6.253</c:v>
                </c:pt>
                <c:pt idx="5">
                  <c:v>7.501</c:v>
                </c:pt>
                <c:pt idx="6">
                  <c:v>7.147</c:v>
                </c:pt>
                <c:pt idx="7">
                  <c:v>6.41</c:v>
                </c:pt>
                <c:pt idx="8">
                  <c:v>6.857</c:v>
                </c:pt>
                <c:pt idx="9">
                  <c:v>7.048</c:v>
                </c:pt>
                <c:pt idx="10">
                  <c:v>6.246</c:v>
                </c:pt>
                <c:pt idx="11">
                  <c:v>6.178</c:v>
                </c:pt>
                <c:pt idx="12">
                  <c:v>6.567</c:v>
                </c:pt>
                <c:pt idx="13">
                  <c:v>2.301</c:v>
                </c:pt>
                <c:pt idx="14">
                  <c:v>1.316</c:v>
                </c:pt>
                <c:pt idx="15">
                  <c:v>1.377</c:v>
                </c:pt>
                <c:pt idx="16">
                  <c:v>1.302</c:v>
                </c:pt>
                <c:pt idx="17">
                  <c:v>1.31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"Shade 4"</c:f>
              <c:strCache>
                <c:ptCount val="1"/>
                <c:pt idx="0">
                  <c:v>Shade 4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Profiles!$BI$3:$BI$20</c:f>
              <c:numCache>
                <c:formatCode>General</c:formatCode>
                <c:ptCount val="18"/>
                <c:pt idx="0">
                  <c:v>0</c:v>
                </c:pt>
                <c:pt idx="1">
                  <c:v>0.18</c:v>
                </c:pt>
                <c:pt idx="2">
                  <c:v>0.38</c:v>
                </c:pt>
                <c:pt idx="3">
                  <c:v>0.59</c:v>
                </c:pt>
                <c:pt idx="4">
                  <c:v>0.78</c:v>
                </c:pt>
                <c:pt idx="5">
                  <c:v>0.98</c:v>
                </c:pt>
                <c:pt idx="6">
                  <c:v>1.18</c:v>
                </c:pt>
                <c:pt idx="7">
                  <c:v>1.38</c:v>
                </c:pt>
                <c:pt idx="8">
                  <c:v>1.58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</c:numCache>
            </c:numRef>
          </c:xVal>
          <c:yVal>
            <c:numRef>
              <c:f>Profiles!$BK$3:$BK$20</c:f>
              <c:numCache>
                <c:formatCode>General</c:formatCode>
                <c:ptCount val="18"/>
                <c:pt idx="0">
                  <c:v>3.397</c:v>
                </c:pt>
                <c:pt idx="1">
                  <c:v>12.779</c:v>
                </c:pt>
                <c:pt idx="2">
                  <c:v>8.584</c:v>
                </c:pt>
                <c:pt idx="3">
                  <c:v>6.764</c:v>
                </c:pt>
                <c:pt idx="4">
                  <c:v>6.501</c:v>
                </c:pt>
                <c:pt idx="5">
                  <c:v>5.754</c:v>
                </c:pt>
                <c:pt idx="6">
                  <c:v>7.042</c:v>
                </c:pt>
                <c:pt idx="7">
                  <c:v>6.601</c:v>
                </c:pt>
                <c:pt idx="8">
                  <c:v>6.43</c:v>
                </c:pt>
                <c:pt idx="9">
                  <c:v>6.509</c:v>
                </c:pt>
                <c:pt idx="10">
                  <c:v>7.257</c:v>
                </c:pt>
                <c:pt idx="11">
                  <c:v>6.163</c:v>
                </c:pt>
                <c:pt idx="12">
                  <c:v>2.158</c:v>
                </c:pt>
                <c:pt idx="13">
                  <c:v>1.309</c:v>
                </c:pt>
                <c:pt idx="14">
                  <c:v>1.31</c:v>
                </c:pt>
                <c:pt idx="15">
                  <c:v>1.311</c:v>
                </c:pt>
                <c:pt idx="16">
                  <c:v>1.321</c:v>
                </c:pt>
                <c:pt idx="17">
                  <c:v>1.312</c:v>
                </c:pt>
              </c:numCache>
            </c:numRef>
          </c:yVal>
          <c:smooth val="0"/>
        </c:ser>
        <c:axId val="95640076"/>
        <c:axId val="15179015"/>
      </c:scatterChart>
      <c:valAx>
        <c:axId val="956400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79015"/>
        <c:crosses val="autoZero"/>
        <c:crossBetween val="midCat"/>
      </c:valAx>
      <c:valAx>
        <c:axId val="15179015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400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Battery power — shade runs (negative = charging)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"Shade 1"</c:f>
              <c:strCache>
                <c:ptCount val="1"/>
                <c:pt idx="0">
                  <c:v>Shade 1</c:v>
                </c:pt>
              </c:strCache>
            </c:strRef>
          </c:tx>
          <c:spPr>
            <a:solidFill>
              <a:srgbClr val="9fc2ec"/>
            </a:solidFill>
            <a:ln w="19080">
              <a:solidFill>
                <a:srgbClr val="9fc2e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Profiles!$AQ$3:$AQ$66</c:f>
              <c:numCache>
                <c:formatCode>General</c:formatCode>
                <c:ptCount val="64"/>
                <c:pt idx="0">
                  <c:v>0</c:v>
                </c:pt>
                <c:pt idx="1">
                  <c:v>0.2</c:v>
                </c:pt>
                <c:pt idx="2">
                  <c:v>0.41</c:v>
                </c:pt>
                <c:pt idx="3">
                  <c:v>0.61</c:v>
                </c:pt>
                <c:pt idx="4">
                  <c:v>0.81</c:v>
                </c:pt>
                <c:pt idx="5">
                  <c:v>1.02</c:v>
                </c:pt>
                <c:pt idx="6">
                  <c:v>1.22</c:v>
                </c:pt>
                <c:pt idx="7">
                  <c:v>1.42</c:v>
                </c:pt>
                <c:pt idx="8">
                  <c:v>1.62</c:v>
                </c:pt>
                <c:pt idx="9">
                  <c:v>1.82</c:v>
                </c:pt>
                <c:pt idx="10">
                  <c:v>2.02</c:v>
                </c:pt>
                <c:pt idx="11">
                  <c:v>2.22</c:v>
                </c:pt>
                <c:pt idx="12">
                  <c:v>2.42</c:v>
                </c:pt>
                <c:pt idx="13">
                  <c:v>2.62</c:v>
                </c:pt>
                <c:pt idx="14">
                  <c:v>2.82</c:v>
                </c:pt>
                <c:pt idx="15">
                  <c:v>3.02</c:v>
                </c:pt>
                <c:pt idx="16">
                  <c:v>3.22</c:v>
                </c:pt>
                <c:pt idx="17">
                  <c:v>3.42</c:v>
                </c:pt>
                <c:pt idx="18">
                  <c:v>3.62</c:v>
                </c:pt>
                <c:pt idx="19">
                  <c:v>3.82</c:v>
                </c:pt>
                <c:pt idx="20">
                  <c:v>4.02</c:v>
                </c:pt>
                <c:pt idx="21">
                  <c:v>4.22</c:v>
                </c:pt>
                <c:pt idx="22">
                  <c:v>4.42</c:v>
                </c:pt>
                <c:pt idx="23">
                  <c:v>4.62</c:v>
                </c:pt>
                <c:pt idx="24">
                  <c:v>4.82</c:v>
                </c:pt>
                <c:pt idx="25">
                  <c:v>5.02</c:v>
                </c:pt>
                <c:pt idx="26">
                  <c:v>5.22</c:v>
                </c:pt>
                <c:pt idx="27">
                  <c:v>5.42</c:v>
                </c:pt>
                <c:pt idx="28">
                  <c:v>5.62</c:v>
                </c:pt>
                <c:pt idx="29">
                  <c:v>5.82</c:v>
                </c:pt>
                <c:pt idx="30">
                  <c:v>6.02</c:v>
                </c:pt>
                <c:pt idx="31">
                  <c:v>6.22</c:v>
                </c:pt>
                <c:pt idx="32">
                  <c:v>6.42</c:v>
                </c:pt>
                <c:pt idx="33">
                  <c:v>6.62</c:v>
                </c:pt>
                <c:pt idx="34">
                  <c:v>6.82</c:v>
                </c:pt>
                <c:pt idx="35">
                  <c:v>7.02</c:v>
                </c:pt>
                <c:pt idx="36">
                  <c:v>7.22</c:v>
                </c:pt>
                <c:pt idx="37">
                  <c:v>7.42</c:v>
                </c:pt>
                <c:pt idx="38">
                  <c:v>7.62</c:v>
                </c:pt>
                <c:pt idx="39">
                  <c:v>7.82</c:v>
                </c:pt>
                <c:pt idx="40">
                  <c:v>8.02</c:v>
                </c:pt>
                <c:pt idx="41">
                  <c:v>8.22</c:v>
                </c:pt>
                <c:pt idx="42">
                  <c:v>8.42</c:v>
                </c:pt>
                <c:pt idx="43">
                  <c:v>8.62</c:v>
                </c:pt>
                <c:pt idx="44">
                  <c:v>8.82</c:v>
                </c:pt>
                <c:pt idx="45">
                  <c:v>9.02</c:v>
                </c:pt>
                <c:pt idx="46">
                  <c:v>9.22</c:v>
                </c:pt>
                <c:pt idx="47">
                  <c:v>9.42</c:v>
                </c:pt>
                <c:pt idx="48">
                  <c:v>9.62</c:v>
                </c:pt>
                <c:pt idx="49">
                  <c:v>9.82</c:v>
                </c:pt>
                <c:pt idx="50">
                  <c:v>10.02</c:v>
                </c:pt>
                <c:pt idx="51">
                  <c:v>10.22</c:v>
                </c:pt>
                <c:pt idx="52">
                  <c:v>10.42</c:v>
                </c:pt>
                <c:pt idx="53">
                  <c:v>10.62</c:v>
                </c:pt>
                <c:pt idx="54">
                  <c:v>10.82</c:v>
                </c:pt>
                <c:pt idx="55">
                  <c:v>11.02</c:v>
                </c:pt>
                <c:pt idx="56">
                  <c:v>11.22</c:v>
                </c:pt>
                <c:pt idx="57">
                  <c:v>11.42</c:v>
                </c:pt>
                <c:pt idx="58">
                  <c:v>11.62</c:v>
                </c:pt>
                <c:pt idx="59">
                  <c:v>11.82</c:v>
                </c:pt>
                <c:pt idx="60">
                  <c:v>12.02</c:v>
                </c:pt>
                <c:pt idx="61">
                  <c:v>12.22</c:v>
                </c:pt>
                <c:pt idx="62">
                  <c:v>12.42</c:v>
                </c:pt>
                <c:pt idx="63">
                  <c:v>12.62</c:v>
                </c:pt>
              </c:numCache>
            </c:numRef>
          </c:xVal>
          <c:yVal>
            <c:numRef>
              <c:f>Profiles!$AT$3:$AT$66</c:f>
              <c:numCache>
                <c:formatCode>General</c:formatCode>
                <c:ptCount val="64"/>
                <c:pt idx="0">
                  <c:v>1.205</c:v>
                </c:pt>
                <c:pt idx="1">
                  <c:v>3.594</c:v>
                </c:pt>
                <c:pt idx="2">
                  <c:v>4.548</c:v>
                </c:pt>
                <c:pt idx="3">
                  <c:v>5.159</c:v>
                </c:pt>
                <c:pt idx="4">
                  <c:v>6.283</c:v>
                </c:pt>
                <c:pt idx="5">
                  <c:v>9.857</c:v>
                </c:pt>
                <c:pt idx="6">
                  <c:v>6.461</c:v>
                </c:pt>
                <c:pt idx="7">
                  <c:v>6.523</c:v>
                </c:pt>
                <c:pt idx="8">
                  <c:v>5.521</c:v>
                </c:pt>
                <c:pt idx="9">
                  <c:v>6.437</c:v>
                </c:pt>
                <c:pt idx="10">
                  <c:v>5.773</c:v>
                </c:pt>
                <c:pt idx="11">
                  <c:v>6.118</c:v>
                </c:pt>
                <c:pt idx="12">
                  <c:v>6.013</c:v>
                </c:pt>
                <c:pt idx="13">
                  <c:v>5.221</c:v>
                </c:pt>
                <c:pt idx="14">
                  <c:v>2.003</c:v>
                </c:pt>
                <c:pt idx="15">
                  <c:v>4.361</c:v>
                </c:pt>
                <c:pt idx="16">
                  <c:v>5.42</c:v>
                </c:pt>
                <c:pt idx="17">
                  <c:v>5.177</c:v>
                </c:pt>
                <c:pt idx="18">
                  <c:v>5.614</c:v>
                </c:pt>
                <c:pt idx="19">
                  <c:v>6.057</c:v>
                </c:pt>
                <c:pt idx="20">
                  <c:v>5.31</c:v>
                </c:pt>
                <c:pt idx="21">
                  <c:v>6.082</c:v>
                </c:pt>
                <c:pt idx="22">
                  <c:v>6.075</c:v>
                </c:pt>
                <c:pt idx="23">
                  <c:v>5.692</c:v>
                </c:pt>
                <c:pt idx="24">
                  <c:v>4.8</c:v>
                </c:pt>
                <c:pt idx="25">
                  <c:v>5.925</c:v>
                </c:pt>
                <c:pt idx="26">
                  <c:v>6.507</c:v>
                </c:pt>
                <c:pt idx="27">
                  <c:v>6.276</c:v>
                </c:pt>
                <c:pt idx="28">
                  <c:v>6.43</c:v>
                </c:pt>
                <c:pt idx="29">
                  <c:v>6.345</c:v>
                </c:pt>
                <c:pt idx="30">
                  <c:v>6.891</c:v>
                </c:pt>
                <c:pt idx="31">
                  <c:v>6.662</c:v>
                </c:pt>
                <c:pt idx="32">
                  <c:v>6.573</c:v>
                </c:pt>
                <c:pt idx="33">
                  <c:v>6.486</c:v>
                </c:pt>
                <c:pt idx="34">
                  <c:v>6.319</c:v>
                </c:pt>
                <c:pt idx="35">
                  <c:v>6.234</c:v>
                </c:pt>
                <c:pt idx="36">
                  <c:v>6.627</c:v>
                </c:pt>
                <c:pt idx="37">
                  <c:v>6.872</c:v>
                </c:pt>
                <c:pt idx="38">
                  <c:v>7.06</c:v>
                </c:pt>
                <c:pt idx="39">
                  <c:v>6.863</c:v>
                </c:pt>
                <c:pt idx="40">
                  <c:v>6.143</c:v>
                </c:pt>
                <c:pt idx="41">
                  <c:v>6.191</c:v>
                </c:pt>
                <c:pt idx="42">
                  <c:v>9.751</c:v>
                </c:pt>
                <c:pt idx="43">
                  <c:v>7.364</c:v>
                </c:pt>
                <c:pt idx="44">
                  <c:v>4.226</c:v>
                </c:pt>
                <c:pt idx="45">
                  <c:v>5.594</c:v>
                </c:pt>
                <c:pt idx="46">
                  <c:v>6.058</c:v>
                </c:pt>
                <c:pt idx="47">
                  <c:v>5.525</c:v>
                </c:pt>
                <c:pt idx="48">
                  <c:v>6.996</c:v>
                </c:pt>
                <c:pt idx="49">
                  <c:v>8.107</c:v>
                </c:pt>
                <c:pt idx="50">
                  <c:v>6.356</c:v>
                </c:pt>
                <c:pt idx="51">
                  <c:v>5.331</c:v>
                </c:pt>
                <c:pt idx="52">
                  <c:v>5.398</c:v>
                </c:pt>
                <c:pt idx="53">
                  <c:v>6.569</c:v>
                </c:pt>
                <c:pt idx="54">
                  <c:v>5.629</c:v>
                </c:pt>
                <c:pt idx="55">
                  <c:v>5.524</c:v>
                </c:pt>
                <c:pt idx="56">
                  <c:v>4.711</c:v>
                </c:pt>
                <c:pt idx="57">
                  <c:v>3.454</c:v>
                </c:pt>
                <c:pt idx="58">
                  <c:v>5.111</c:v>
                </c:pt>
                <c:pt idx="59">
                  <c:v>1.848</c:v>
                </c:pt>
                <c:pt idx="60">
                  <c:v>0.897</c:v>
                </c:pt>
                <c:pt idx="61">
                  <c:v>1.038</c:v>
                </c:pt>
                <c:pt idx="62">
                  <c:v>0.709</c:v>
                </c:pt>
                <c:pt idx="63">
                  <c:v>0.709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"Shade 2"</c:f>
              <c:strCache>
                <c:ptCount val="1"/>
                <c:pt idx="0">
                  <c:v>Shade 2</c:v>
                </c:pt>
              </c:strCache>
            </c:strRef>
          </c:tx>
          <c:spPr>
            <a:solidFill>
              <a:srgbClr val="78a9e5"/>
            </a:solidFill>
            <a:ln w="19080">
              <a:solidFill>
                <a:srgbClr val="78a9e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Profiles!$AW$3:$AW$22</c:f>
              <c:numCache>
                <c:formatCode>General</c:formatCode>
                <c:ptCount val="2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</c:numCache>
            </c:numRef>
          </c:xVal>
          <c:yVal>
            <c:numRef>
              <c:f>Profiles!$AZ$3:$AZ$22</c:f>
              <c:numCache>
                <c:formatCode>General</c:formatCode>
                <c:ptCount val="20"/>
                <c:pt idx="0">
                  <c:v>7.571</c:v>
                </c:pt>
                <c:pt idx="1">
                  <c:v>10.716</c:v>
                </c:pt>
                <c:pt idx="2">
                  <c:v>5.394</c:v>
                </c:pt>
                <c:pt idx="3">
                  <c:v>5.341</c:v>
                </c:pt>
                <c:pt idx="4">
                  <c:v>4.382</c:v>
                </c:pt>
                <c:pt idx="5">
                  <c:v>6.774</c:v>
                </c:pt>
                <c:pt idx="6">
                  <c:v>6.251</c:v>
                </c:pt>
                <c:pt idx="7">
                  <c:v>5.824</c:v>
                </c:pt>
                <c:pt idx="8">
                  <c:v>5.614</c:v>
                </c:pt>
                <c:pt idx="9">
                  <c:v>5.593</c:v>
                </c:pt>
                <c:pt idx="10">
                  <c:v>5.32</c:v>
                </c:pt>
                <c:pt idx="11">
                  <c:v>5.432</c:v>
                </c:pt>
                <c:pt idx="12">
                  <c:v>4.859</c:v>
                </c:pt>
                <c:pt idx="13">
                  <c:v>5.566</c:v>
                </c:pt>
                <c:pt idx="14">
                  <c:v>2.165</c:v>
                </c:pt>
                <c:pt idx="15">
                  <c:v>1.168</c:v>
                </c:pt>
                <c:pt idx="16">
                  <c:v>1.404</c:v>
                </c:pt>
                <c:pt idx="17">
                  <c:v>1.18</c:v>
                </c:pt>
                <c:pt idx="18">
                  <c:v>1.168</c:v>
                </c:pt>
                <c:pt idx="19">
                  <c:v>1.168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"Shade 3"</c:f>
              <c:strCache>
                <c:ptCount val="1"/>
                <c:pt idx="0">
                  <c:v>Shade 3</c:v>
                </c:pt>
              </c:strCache>
            </c:strRef>
          </c:tx>
          <c:spPr>
            <a:solidFill>
              <a:srgbClr val="5190dd"/>
            </a:solidFill>
            <a:ln w="19080">
              <a:solidFill>
                <a:srgbClr val="5190d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Profiles!$BC$3:$BC$20</c:f>
              <c:numCache>
                <c:formatCode>General</c:formatCode>
                <c:ptCount val="1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2.63</c:v>
                </c:pt>
                <c:pt idx="14">
                  <c:v>2.81</c:v>
                </c:pt>
                <c:pt idx="15">
                  <c:v>3.01</c:v>
                </c:pt>
                <c:pt idx="16">
                  <c:v>3.22</c:v>
                </c:pt>
                <c:pt idx="17">
                  <c:v>3.42</c:v>
                </c:pt>
              </c:numCache>
            </c:numRef>
          </c:xVal>
          <c:yVal>
            <c:numRef>
              <c:f>Profiles!$BF$3:$BF$20</c:f>
              <c:numCache>
                <c:formatCode>General</c:formatCode>
                <c:ptCount val="18"/>
                <c:pt idx="0">
                  <c:v>9.069</c:v>
                </c:pt>
                <c:pt idx="1">
                  <c:v>10.811</c:v>
                </c:pt>
                <c:pt idx="2">
                  <c:v>6.29</c:v>
                </c:pt>
                <c:pt idx="3">
                  <c:v>6.008</c:v>
                </c:pt>
                <c:pt idx="4">
                  <c:v>6.132</c:v>
                </c:pt>
                <c:pt idx="5">
                  <c:v>7.375</c:v>
                </c:pt>
                <c:pt idx="6">
                  <c:v>7.005</c:v>
                </c:pt>
                <c:pt idx="7">
                  <c:v>6.3</c:v>
                </c:pt>
                <c:pt idx="8">
                  <c:v>6.788</c:v>
                </c:pt>
                <c:pt idx="9">
                  <c:v>6.913</c:v>
                </c:pt>
                <c:pt idx="10">
                  <c:v>6.125</c:v>
                </c:pt>
                <c:pt idx="11">
                  <c:v>6.069</c:v>
                </c:pt>
                <c:pt idx="12">
                  <c:v>6.407</c:v>
                </c:pt>
                <c:pt idx="13">
                  <c:v>2.163</c:v>
                </c:pt>
                <c:pt idx="14">
                  <c:v>1.249</c:v>
                </c:pt>
                <c:pt idx="15">
                  <c:v>1.332</c:v>
                </c:pt>
                <c:pt idx="16">
                  <c:v>1.262</c:v>
                </c:pt>
                <c:pt idx="17">
                  <c:v>1.262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"Shade 4"</c:f>
              <c:strCache>
                <c:ptCount val="1"/>
                <c:pt idx="0">
                  <c:v>Shade 4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Profiles!$BI$3:$BI$20</c:f>
              <c:numCache>
                <c:formatCode>General</c:formatCode>
                <c:ptCount val="18"/>
                <c:pt idx="0">
                  <c:v>0</c:v>
                </c:pt>
                <c:pt idx="1">
                  <c:v>0.18</c:v>
                </c:pt>
                <c:pt idx="2">
                  <c:v>0.38</c:v>
                </c:pt>
                <c:pt idx="3">
                  <c:v>0.59</c:v>
                </c:pt>
                <c:pt idx="4">
                  <c:v>0.78</c:v>
                </c:pt>
                <c:pt idx="5">
                  <c:v>0.98</c:v>
                </c:pt>
                <c:pt idx="6">
                  <c:v>1.18</c:v>
                </c:pt>
                <c:pt idx="7">
                  <c:v>1.38</c:v>
                </c:pt>
                <c:pt idx="8">
                  <c:v>1.58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</c:numCache>
            </c:numRef>
          </c:xVal>
          <c:yVal>
            <c:numRef>
              <c:f>Profiles!$BL$3:$BL$20</c:f>
              <c:numCache>
                <c:formatCode>General</c:formatCode>
                <c:ptCount val="18"/>
                <c:pt idx="0">
                  <c:v>3.354</c:v>
                </c:pt>
                <c:pt idx="1">
                  <c:v>12.731</c:v>
                </c:pt>
                <c:pt idx="2">
                  <c:v>8.542</c:v>
                </c:pt>
                <c:pt idx="3">
                  <c:v>6.717</c:v>
                </c:pt>
                <c:pt idx="4">
                  <c:v>6.454</c:v>
                </c:pt>
                <c:pt idx="5">
                  <c:v>5.71</c:v>
                </c:pt>
                <c:pt idx="6">
                  <c:v>7.006</c:v>
                </c:pt>
                <c:pt idx="7">
                  <c:v>6.558</c:v>
                </c:pt>
                <c:pt idx="8">
                  <c:v>6.384</c:v>
                </c:pt>
                <c:pt idx="9">
                  <c:v>6.485</c:v>
                </c:pt>
                <c:pt idx="10">
                  <c:v>7.232</c:v>
                </c:pt>
                <c:pt idx="11">
                  <c:v>6.141</c:v>
                </c:pt>
                <c:pt idx="12">
                  <c:v>2.127</c:v>
                </c:pt>
                <c:pt idx="13">
                  <c:v>1.284</c:v>
                </c:pt>
                <c:pt idx="14">
                  <c:v>1.285</c:v>
                </c:pt>
                <c:pt idx="15">
                  <c:v>1.285</c:v>
                </c:pt>
                <c:pt idx="16">
                  <c:v>1.297</c:v>
                </c:pt>
                <c:pt idx="17">
                  <c:v>1.285</c:v>
                </c:pt>
              </c:numCache>
            </c:numRef>
          </c:yVal>
          <c:smooth val="0"/>
        </c:ser>
        <c:axId val="47441173"/>
        <c:axId val="79268588"/>
      </c:scatterChart>
      <c:valAx>
        <c:axId val="47441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68588"/>
        <c:crosses val="min"/>
        <c:crossBetween val="midCat"/>
      </c:valAx>
      <c:valAx>
        <c:axId val="79268588"/>
        <c:scaling>
          <c:orientation val="minMax"/>
          <c:max val="12"/>
          <c:min val="-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4117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 per run — shade (load vs from battery)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"Load energy"</c:f>
              <c:strCache>
                <c:ptCount val="1"/>
                <c:pt idx="0">
                  <c:v>Load energy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Runs!$A$9:$A$12</c:f>
              <c:strCache>
                <c:ptCount val="4"/>
                <c:pt idx="0">
                  <c:v>Shade 1</c:v>
                </c:pt>
                <c:pt idx="1">
                  <c:v>Shade 2</c:v>
                </c:pt>
                <c:pt idx="2">
                  <c:v>Shade 3</c:v>
                </c:pt>
                <c:pt idx="3">
                  <c:v>Shade 4</c:v>
                </c:pt>
              </c:strCache>
            </c:strRef>
          </c:cat>
          <c:val>
            <c:numRef>
              <c:f>Runs!$R$9:$R$12</c:f>
              <c:numCache>
                <c:formatCode>0.0</c:formatCode>
                <c:ptCount val="4"/>
                <c:pt idx="0">
                  <c:v>73.0469385788549</c:v>
                </c:pt>
                <c:pt idx="1">
                  <c:v>19.3796557319</c:v>
                </c:pt>
                <c:pt idx="2">
                  <c:v>19.2433433470199</c:v>
                </c:pt>
                <c:pt idx="3">
                  <c:v>17.2026438284552</c:v>
                </c:pt>
              </c:numCache>
            </c:numRef>
          </c:val>
        </c:ser>
        <c:ser>
          <c:idx val="1"/>
          <c:order val="1"/>
          <c:tx>
            <c:strRef>
              <c:f>"From battery"</c:f>
              <c:strCache>
                <c:ptCount val="1"/>
                <c:pt idx="0">
                  <c:v>From battery</c:v>
                </c:pt>
              </c:strCache>
            </c:strRef>
          </c:tx>
          <c:spPr>
            <a:solidFill>
              <a:srgbClr val="7a7a7a"/>
            </a:solidFill>
            <a:ln w="0">
              <a:solidFill>
                <a:srgbClr val="7a7a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Runs!$A$9:$A$12</c:f>
              <c:strCache>
                <c:ptCount val="4"/>
                <c:pt idx="0">
                  <c:v>Shade 1</c:v>
                </c:pt>
                <c:pt idx="1">
                  <c:v>Shade 2</c:v>
                </c:pt>
                <c:pt idx="2">
                  <c:v>Shade 3</c:v>
                </c:pt>
                <c:pt idx="3">
                  <c:v>Shade 4</c:v>
                </c:pt>
              </c:strCache>
            </c:strRef>
          </c:cat>
          <c:val>
            <c:numRef>
              <c:f>Runs!$S$9:$S$12</c:f>
              <c:numCache>
                <c:formatCode>0.0</c:formatCode>
                <c:ptCount val="4"/>
                <c:pt idx="0">
                  <c:v>69.9517437899999</c:v>
                </c:pt>
                <c:pt idx="1">
                  <c:v>17.3604049999999</c:v>
                </c:pt>
                <c:pt idx="2">
                  <c:v>18.8400171999999</c:v>
                </c:pt>
                <c:pt idx="3">
                  <c:v>17.1032424700002</c:v>
                </c:pt>
              </c:numCache>
            </c:numRef>
          </c:val>
        </c:ser>
        <c:gapWidth val="60"/>
        <c:overlap val="0"/>
        <c:axId val="26285557"/>
        <c:axId val="14973851"/>
      </c:barChart>
      <c:catAx>
        <c:axId val="262855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73851"/>
        <c:crosses val="autoZero"/>
        <c:auto val="1"/>
        <c:lblAlgn val="ctr"/>
        <c:lblOffset val="100"/>
        <c:noMultiLvlLbl val="0"/>
      </c:catAx>
      <c:valAx>
        <c:axId val="14973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 (J)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855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Sun 1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Profiles!$A$3:$A$43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Profiles!$E$3:$E$43</c:f>
              <c:numCache>
                <c:formatCode>General</c:formatCode>
                <c:ptCount val="41"/>
                <c:pt idx="0">
                  <c:v>5.71</c:v>
                </c:pt>
                <c:pt idx="1">
                  <c:v>5.657</c:v>
                </c:pt>
                <c:pt idx="2">
                  <c:v>5.646</c:v>
                </c:pt>
                <c:pt idx="3">
                  <c:v>5.654</c:v>
                </c:pt>
                <c:pt idx="4">
                  <c:v>5.615</c:v>
                </c:pt>
                <c:pt idx="5">
                  <c:v>5.535</c:v>
                </c:pt>
                <c:pt idx="6">
                  <c:v>5.523</c:v>
                </c:pt>
                <c:pt idx="7">
                  <c:v>5.479</c:v>
                </c:pt>
                <c:pt idx="8">
                  <c:v>5.511</c:v>
                </c:pt>
                <c:pt idx="9">
                  <c:v>5.483</c:v>
                </c:pt>
                <c:pt idx="10">
                  <c:v>5.464</c:v>
                </c:pt>
                <c:pt idx="11">
                  <c:v>5.544</c:v>
                </c:pt>
                <c:pt idx="12">
                  <c:v>5.511</c:v>
                </c:pt>
                <c:pt idx="13">
                  <c:v>5.507</c:v>
                </c:pt>
                <c:pt idx="14">
                  <c:v>5.461</c:v>
                </c:pt>
                <c:pt idx="15">
                  <c:v>5.416</c:v>
                </c:pt>
                <c:pt idx="16">
                  <c:v>5.292</c:v>
                </c:pt>
                <c:pt idx="17">
                  <c:v>5.306</c:v>
                </c:pt>
                <c:pt idx="18">
                  <c:v>5.22</c:v>
                </c:pt>
                <c:pt idx="19">
                  <c:v>5.197</c:v>
                </c:pt>
                <c:pt idx="20">
                  <c:v>5.142</c:v>
                </c:pt>
                <c:pt idx="21">
                  <c:v>5.163</c:v>
                </c:pt>
                <c:pt idx="22">
                  <c:v>5.147</c:v>
                </c:pt>
                <c:pt idx="23">
                  <c:v>5.159</c:v>
                </c:pt>
                <c:pt idx="24">
                  <c:v>5.155</c:v>
                </c:pt>
                <c:pt idx="25">
                  <c:v>5.167</c:v>
                </c:pt>
                <c:pt idx="26">
                  <c:v>5.168</c:v>
                </c:pt>
                <c:pt idx="27">
                  <c:v>5.168</c:v>
                </c:pt>
                <c:pt idx="28">
                  <c:v>5.17</c:v>
                </c:pt>
                <c:pt idx="29">
                  <c:v>5.108</c:v>
                </c:pt>
                <c:pt idx="30">
                  <c:v>5.13</c:v>
                </c:pt>
                <c:pt idx="31">
                  <c:v>5.112</c:v>
                </c:pt>
                <c:pt idx="32">
                  <c:v>5.107</c:v>
                </c:pt>
                <c:pt idx="33">
                  <c:v>5.071</c:v>
                </c:pt>
                <c:pt idx="34">
                  <c:v>5.049</c:v>
                </c:pt>
                <c:pt idx="35">
                  <c:v>4.983</c:v>
                </c:pt>
                <c:pt idx="36">
                  <c:v>4.851</c:v>
                </c:pt>
                <c:pt idx="37">
                  <c:v>4.78</c:v>
                </c:pt>
                <c:pt idx="38">
                  <c:v>4.729</c:v>
                </c:pt>
                <c:pt idx="39">
                  <c:v>4.722</c:v>
                </c:pt>
                <c:pt idx="40">
                  <c:v>4.729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Profiles!$A$3:$A$43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Profiles!$C$3:$C$43</c:f>
              <c:numCache>
                <c:formatCode>General</c:formatCode>
                <c:ptCount val="41"/>
                <c:pt idx="0">
                  <c:v>2.586</c:v>
                </c:pt>
                <c:pt idx="1">
                  <c:v>7.399</c:v>
                </c:pt>
                <c:pt idx="2">
                  <c:v>6.679</c:v>
                </c:pt>
                <c:pt idx="3">
                  <c:v>4.868</c:v>
                </c:pt>
                <c:pt idx="4">
                  <c:v>3.616</c:v>
                </c:pt>
                <c:pt idx="5">
                  <c:v>6.089</c:v>
                </c:pt>
                <c:pt idx="6">
                  <c:v>6.034</c:v>
                </c:pt>
                <c:pt idx="7">
                  <c:v>6.232</c:v>
                </c:pt>
                <c:pt idx="8">
                  <c:v>5.644</c:v>
                </c:pt>
                <c:pt idx="9">
                  <c:v>5.096</c:v>
                </c:pt>
                <c:pt idx="10">
                  <c:v>5.109</c:v>
                </c:pt>
                <c:pt idx="11">
                  <c:v>4.151</c:v>
                </c:pt>
                <c:pt idx="12">
                  <c:v>6.893</c:v>
                </c:pt>
                <c:pt idx="13">
                  <c:v>6.593</c:v>
                </c:pt>
                <c:pt idx="14">
                  <c:v>6.242</c:v>
                </c:pt>
                <c:pt idx="15">
                  <c:v>5.751</c:v>
                </c:pt>
                <c:pt idx="16">
                  <c:v>6.55</c:v>
                </c:pt>
                <c:pt idx="17">
                  <c:v>5.421</c:v>
                </c:pt>
                <c:pt idx="18">
                  <c:v>3.032</c:v>
                </c:pt>
                <c:pt idx="19">
                  <c:v>2.843</c:v>
                </c:pt>
                <c:pt idx="20">
                  <c:v>2.625</c:v>
                </c:pt>
                <c:pt idx="21">
                  <c:v>2.289</c:v>
                </c:pt>
                <c:pt idx="22">
                  <c:v>2.131</c:v>
                </c:pt>
                <c:pt idx="23">
                  <c:v>2.179</c:v>
                </c:pt>
                <c:pt idx="24">
                  <c:v>2.187</c:v>
                </c:pt>
                <c:pt idx="25">
                  <c:v>2.174</c:v>
                </c:pt>
                <c:pt idx="26">
                  <c:v>2.175</c:v>
                </c:pt>
                <c:pt idx="27">
                  <c:v>2.175</c:v>
                </c:pt>
                <c:pt idx="28">
                  <c:v>2.914</c:v>
                </c:pt>
                <c:pt idx="29">
                  <c:v>8.497</c:v>
                </c:pt>
                <c:pt idx="30">
                  <c:v>10.839</c:v>
                </c:pt>
                <c:pt idx="31">
                  <c:v>8.005</c:v>
                </c:pt>
                <c:pt idx="32">
                  <c:v>6.165</c:v>
                </c:pt>
                <c:pt idx="33">
                  <c:v>5.346</c:v>
                </c:pt>
                <c:pt idx="34">
                  <c:v>6.036</c:v>
                </c:pt>
                <c:pt idx="35">
                  <c:v>5.841</c:v>
                </c:pt>
                <c:pt idx="36">
                  <c:v>6.371</c:v>
                </c:pt>
                <c:pt idx="37">
                  <c:v>2.426</c:v>
                </c:pt>
                <c:pt idx="38">
                  <c:v>2.354</c:v>
                </c:pt>
                <c:pt idx="39">
                  <c:v>1.384</c:v>
                </c:pt>
                <c:pt idx="40">
                  <c:v>1.343</c:v>
                </c:pt>
              </c:numCache>
            </c:numRef>
          </c:yVal>
          <c:smooth val="0"/>
        </c:ser>
        <c:axId val="47898843"/>
        <c:axId val="44671065"/>
      </c:scatterChart>
      <c:valAx>
        <c:axId val="478988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71065"/>
        <c:crosses val="autoZero"/>
        <c:crossBetween val="midCat"/>
      </c:valAx>
      <c:valAx>
        <c:axId val="44671065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9884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Sun 2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Profiles!$G$3:$G$19</c:f>
              <c:numCache>
                <c:formatCode>General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</c:numCache>
            </c:numRef>
          </c:xVal>
          <c:yVal>
            <c:numRef>
              <c:f>Profiles!$K$3:$K$19</c:f>
              <c:numCache>
                <c:formatCode>General</c:formatCode>
                <c:ptCount val="17"/>
                <c:pt idx="0">
                  <c:v>4.66</c:v>
                </c:pt>
                <c:pt idx="1">
                  <c:v>4.551</c:v>
                </c:pt>
                <c:pt idx="2">
                  <c:v>4.542</c:v>
                </c:pt>
                <c:pt idx="3">
                  <c:v>4.434</c:v>
                </c:pt>
                <c:pt idx="4">
                  <c:v>4.387</c:v>
                </c:pt>
                <c:pt idx="5">
                  <c:v>4.165</c:v>
                </c:pt>
                <c:pt idx="6">
                  <c:v>4.157</c:v>
                </c:pt>
                <c:pt idx="7">
                  <c:v>4.237</c:v>
                </c:pt>
                <c:pt idx="8">
                  <c:v>4.296</c:v>
                </c:pt>
                <c:pt idx="9">
                  <c:v>4.372</c:v>
                </c:pt>
                <c:pt idx="10">
                  <c:v>4.326</c:v>
                </c:pt>
                <c:pt idx="11">
                  <c:v>4.303</c:v>
                </c:pt>
                <c:pt idx="12">
                  <c:v>4.214</c:v>
                </c:pt>
                <c:pt idx="13">
                  <c:v>4.186</c:v>
                </c:pt>
                <c:pt idx="14">
                  <c:v>4.085</c:v>
                </c:pt>
                <c:pt idx="15">
                  <c:v>4.056</c:v>
                </c:pt>
                <c:pt idx="16">
                  <c:v>4.017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Profiles!$G$3:$G$19</c:f>
              <c:numCache>
                <c:formatCode>General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</c:numCache>
            </c:numRef>
          </c:xVal>
          <c:yVal>
            <c:numRef>
              <c:f>Profiles!$I$3:$I$19</c:f>
              <c:numCache>
                <c:formatCode>General</c:formatCode>
                <c:ptCount val="17"/>
                <c:pt idx="0">
                  <c:v>3.057</c:v>
                </c:pt>
                <c:pt idx="1">
                  <c:v>11.603</c:v>
                </c:pt>
                <c:pt idx="2">
                  <c:v>11.815</c:v>
                </c:pt>
                <c:pt idx="3">
                  <c:v>7.492</c:v>
                </c:pt>
                <c:pt idx="4">
                  <c:v>6.047</c:v>
                </c:pt>
                <c:pt idx="5">
                  <c:v>6.163</c:v>
                </c:pt>
                <c:pt idx="6">
                  <c:v>5.018</c:v>
                </c:pt>
                <c:pt idx="7">
                  <c:v>5.879</c:v>
                </c:pt>
                <c:pt idx="8">
                  <c:v>5.712</c:v>
                </c:pt>
                <c:pt idx="9">
                  <c:v>5.967</c:v>
                </c:pt>
                <c:pt idx="10">
                  <c:v>6.293</c:v>
                </c:pt>
                <c:pt idx="11">
                  <c:v>10.032</c:v>
                </c:pt>
                <c:pt idx="12">
                  <c:v>2.219</c:v>
                </c:pt>
                <c:pt idx="13">
                  <c:v>1.6</c:v>
                </c:pt>
                <c:pt idx="14">
                  <c:v>1.311</c:v>
                </c:pt>
                <c:pt idx="15">
                  <c:v>1.319</c:v>
                </c:pt>
                <c:pt idx="16">
                  <c:v>1.317</c:v>
                </c:pt>
              </c:numCache>
            </c:numRef>
          </c:yVal>
          <c:smooth val="0"/>
        </c:ser>
        <c:axId val="54322789"/>
        <c:axId val="69508656"/>
      </c:scatterChart>
      <c:valAx>
        <c:axId val="543227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08656"/>
        <c:crosses val="autoZero"/>
        <c:crossBetween val="midCat"/>
      </c:valAx>
      <c:valAx>
        <c:axId val="69508656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2278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Sun 3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Profiles!$M$3:$M$43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Profiles!$Q$3:$Q$43</c:f>
              <c:numCache>
                <c:formatCode>General</c:formatCode>
                <c:ptCount val="41"/>
                <c:pt idx="0">
                  <c:v>3.979</c:v>
                </c:pt>
                <c:pt idx="1">
                  <c:v>3.958</c:v>
                </c:pt>
                <c:pt idx="2">
                  <c:v>3.946</c:v>
                </c:pt>
                <c:pt idx="3">
                  <c:v>3.913</c:v>
                </c:pt>
                <c:pt idx="4">
                  <c:v>4.084</c:v>
                </c:pt>
                <c:pt idx="5">
                  <c:v>4.113</c:v>
                </c:pt>
                <c:pt idx="6">
                  <c:v>4.123</c:v>
                </c:pt>
                <c:pt idx="7">
                  <c:v>4.245</c:v>
                </c:pt>
                <c:pt idx="8">
                  <c:v>4.215</c:v>
                </c:pt>
                <c:pt idx="9">
                  <c:v>4.197</c:v>
                </c:pt>
                <c:pt idx="10">
                  <c:v>4.126</c:v>
                </c:pt>
                <c:pt idx="11">
                  <c:v>4.063</c:v>
                </c:pt>
                <c:pt idx="12">
                  <c:v>4.016</c:v>
                </c:pt>
                <c:pt idx="13">
                  <c:v>4.023</c:v>
                </c:pt>
                <c:pt idx="14">
                  <c:v>4.013</c:v>
                </c:pt>
                <c:pt idx="15">
                  <c:v>3.989</c:v>
                </c:pt>
                <c:pt idx="16">
                  <c:v>3.979</c:v>
                </c:pt>
                <c:pt idx="17">
                  <c:v>3.971</c:v>
                </c:pt>
                <c:pt idx="18">
                  <c:v>4.001</c:v>
                </c:pt>
                <c:pt idx="19">
                  <c:v>4.032</c:v>
                </c:pt>
                <c:pt idx="20">
                  <c:v>3.998</c:v>
                </c:pt>
                <c:pt idx="21">
                  <c:v>4.034</c:v>
                </c:pt>
                <c:pt idx="22">
                  <c:v>4.153</c:v>
                </c:pt>
                <c:pt idx="23">
                  <c:v>4.26</c:v>
                </c:pt>
                <c:pt idx="24">
                  <c:v>4.266</c:v>
                </c:pt>
                <c:pt idx="25">
                  <c:v>4.321</c:v>
                </c:pt>
                <c:pt idx="26">
                  <c:v>4.365</c:v>
                </c:pt>
                <c:pt idx="27">
                  <c:v>4.417</c:v>
                </c:pt>
                <c:pt idx="28">
                  <c:v>4.393</c:v>
                </c:pt>
                <c:pt idx="29">
                  <c:v>4.435</c:v>
                </c:pt>
                <c:pt idx="30">
                  <c:v>4.365</c:v>
                </c:pt>
                <c:pt idx="31">
                  <c:v>4.292</c:v>
                </c:pt>
                <c:pt idx="32">
                  <c:v>4.274</c:v>
                </c:pt>
                <c:pt idx="33">
                  <c:v>4.243</c:v>
                </c:pt>
                <c:pt idx="34">
                  <c:v>4.2</c:v>
                </c:pt>
                <c:pt idx="35">
                  <c:v>4.125</c:v>
                </c:pt>
                <c:pt idx="36">
                  <c:v>3.998</c:v>
                </c:pt>
                <c:pt idx="37">
                  <c:v>3.965</c:v>
                </c:pt>
                <c:pt idx="38">
                  <c:v>3.96</c:v>
                </c:pt>
                <c:pt idx="39">
                  <c:v>3.932</c:v>
                </c:pt>
                <c:pt idx="40">
                  <c:v>3.925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Profiles!$M$3:$M$43</c:f>
              <c:numCache>
                <c:formatCode>General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Profiles!$O$3:$O$43</c:f>
              <c:numCache>
                <c:formatCode>General</c:formatCode>
                <c:ptCount val="41"/>
                <c:pt idx="0">
                  <c:v>1.316</c:v>
                </c:pt>
                <c:pt idx="1">
                  <c:v>2.718</c:v>
                </c:pt>
                <c:pt idx="2">
                  <c:v>2.977</c:v>
                </c:pt>
                <c:pt idx="3">
                  <c:v>7.711</c:v>
                </c:pt>
                <c:pt idx="4">
                  <c:v>6.498</c:v>
                </c:pt>
                <c:pt idx="5">
                  <c:v>6.602</c:v>
                </c:pt>
                <c:pt idx="6">
                  <c:v>8.392</c:v>
                </c:pt>
                <c:pt idx="7">
                  <c:v>7.436</c:v>
                </c:pt>
                <c:pt idx="8">
                  <c:v>7.04</c:v>
                </c:pt>
                <c:pt idx="9">
                  <c:v>2.452</c:v>
                </c:pt>
                <c:pt idx="10">
                  <c:v>2.596</c:v>
                </c:pt>
                <c:pt idx="11">
                  <c:v>2.82</c:v>
                </c:pt>
                <c:pt idx="12">
                  <c:v>2.419</c:v>
                </c:pt>
                <c:pt idx="13">
                  <c:v>3.558</c:v>
                </c:pt>
                <c:pt idx="14">
                  <c:v>3.336</c:v>
                </c:pt>
                <c:pt idx="15">
                  <c:v>3.42</c:v>
                </c:pt>
                <c:pt idx="16">
                  <c:v>3.292</c:v>
                </c:pt>
                <c:pt idx="17">
                  <c:v>3.484</c:v>
                </c:pt>
                <c:pt idx="18">
                  <c:v>5.239</c:v>
                </c:pt>
                <c:pt idx="19">
                  <c:v>4.778</c:v>
                </c:pt>
                <c:pt idx="20">
                  <c:v>4.614</c:v>
                </c:pt>
                <c:pt idx="21">
                  <c:v>8.155</c:v>
                </c:pt>
                <c:pt idx="22">
                  <c:v>7.508</c:v>
                </c:pt>
                <c:pt idx="23">
                  <c:v>6.586</c:v>
                </c:pt>
                <c:pt idx="24">
                  <c:v>7.078</c:v>
                </c:pt>
                <c:pt idx="25">
                  <c:v>7.227</c:v>
                </c:pt>
                <c:pt idx="26">
                  <c:v>6.802</c:v>
                </c:pt>
                <c:pt idx="27">
                  <c:v>7.2</c:v>
                </c:pt>
                <c:pt idx="28">
                  <c:v>6.413</c:v>
                </c:pt>
                <c:pt idx="29">
                  <c:v>2.682</c:v>
                </c:pt>
                <c:pt idx="30">
                  <c:v>2.839</c:v>
                </c:pt>
                <c:pt idx="31">
                  <c:v>8.091</c:v>
                </c:pt>
                <c:pt idx="32">
                  <c:v>5.99</c:v>
                </c:pt>
                <c:pt idx="33">
                  <c:v>9.655</c:v>
                </c:pt>
                <c:pt idx="34">
                  <c:v>6.712</c:v>
                </c:pt>
                <c:pt idx="35">
                  <c:v>5.61</c:v>
                </c:pt>
                <c:pt idx="36">
                  <c:v>6.301</c:v>
                </c:pt>
                <c:pt idx="37">
                  <c:v>2.037</c:v>
                </c:pt>
                <c:pt idx="38">
                  <c:v>1.344</c:v>
                </c:pt>
                <c:pt idx="39">
                  <c:v>1.329</c:v>
                </c:pt>
                <c:pt idx="40">
                  <c:v>1.322</c:v>
                </c:pt>
              </c:numCache>
            </c:numRef>
          </c:yVal>
          <c:smooth val="0"/>
        </c:ser>
        <c:axId val="89461633"/>
        <c:axId val="57051884"/>
      </c:scatterChart>
      <c:valAx>
        <c:axId val="89461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51884"/>
        <c:crosses val="autoZero"/>
        <c:crossBetween val="midCat"/>
      </c:valAx>
      <c:valAx>
        <c:axId val="57051884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6163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Sun 4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Profiles!$S$3:$S$21</c:f>
              <c:numCache>
                <c:formatCode>General</c:formatCode>
                <c:ptCount val="1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3.01</c:v>
                </c:pt>
                <c:pt idx="16">
                  <c:v>3.21</c:v>
                </c:pt>
                <c:pt idx="17">
                  <c:v>3.41</c:v>
                </c:pt>
                <c:pt idx="18">
                  <c:v>3.61</c:v>
                </c:pt>
              </c:numCache>
            </c:numRef>
          </c:xVal>
          <c:yVal>
            <c:numRef>
              <c:f>Profiles!$W$3:$W$21</c:f>
              <c:numCache>
                <c:formatCode>General</c:formatCode>
                <c:ptCount val="19"/>
                <c:pt idx="0">
                  <c:v>5.32</c:v>
                </c:pt>
                <c:pt idx="1">
                  <c:v>5.312</c:v>
                </c:pt>
                <c:pt idx="2">
                  <c:v>5.338</c:v>
                </c:pt>
                <c:pt idx="3">
                  <c:v>5.34</c:v>
                </c:pt>
                <c:pt idx="4">
                  <c:v>5.24</c:v>
                </c:pt>
                <c:pt idx="5">
                  <c:v>5.195</c:v>
                </c:pt>
                <c:pt idx="6">
                  <c:v>5.203</c:v>
                </c:pt>
                <c:pt idx="7">
                  <c:v>5.128</c:v>
                </c:pt>
                <c:pt idx="8">
                  <c:v>5.142</c:v>
                </c:pt>
                <c:pt idx="9">
                  <c:v>5.142</c:v>
                </c:pt>
                <c:pt idx="10">
                  <c:v>5.046</c:v>
                </c:pt>
                <c:pt idx="11">
                  <c:v>4.979</c:v>
                </c:pt>
                <c:pt idx="12">
                  <c:v>5.03</c:v>
                </c:pt>
                <c:pt idx="13">
                  <c:v>4.994</c:v>
                </c:pt>
                <c:pt idx="14">
                  <c:v>4.973</c:v>
                </c:pt>
                <c:pt idx="15">
                  <c:v>4.905</c:v>
                </c:pt>
                <c:pt idx="16">
                  <c:v>4.881</c:v>
                </c:pt>
                <c:pt idx="17">
                  <c:v>4.852</c:v>
                </c:pt>
                <c:pt idx="18">
                  <c:v>4.836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Profiles!$S$3:$S$21</c:f>
              <c:numCache>
                <c:formatCode>General</c:formatCode>
                <c:ptCount val="1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3.01</c:v>
                </c:pt>
                <c:pt idx="16">
                  <c:v>3.21</c:v>
                </c:pt>
                <c:pt idx="17">
                  <c:v>3.41</c:v>
                </c:pt>
                <c:pt idx="18">
                  <c:v>3.61</c:v>
                </c:pt>
              </c:numCache>
            </c:numRef>
          </c:xVal>
          <c:yVal>
            <c:numRef>
              <c:f>Profiles!$U$3:$U$21</c:f>
              <c:numCache>
                <c:formatCode>General</c:formatCode>
                <c:ptCount val="19"/>
                <c:pt idx="0">
                  <c:v>1.335</c:v>
                </c:pt>
                <c:pt idx="1">
                  <c:v>6.326</c:v>
                </c:pt>
                <c:pt idx="2">
                  <c:v>5.06</c:v>
                </c:pt>
                <c:pt idx="3">
                  <c:v>5.012</c:v>
                </c:pt>
                <c:pt idx="4">
                  <c:v>10.742</c:v>
                </c:pt>
                <c:pt idx="5">
                  <c:v>6.822</c:v>
                </c:pt>
                <c:pt idx="6">
                  <c:v>5.965</c:v>
                </c:pt>
                <c:pt idx="7">
                  <c:v>6.045</c:v>
                </c:pt>
                <c:pt idx="8">
                  <c:v>5.961</c:v>
                </c:pt>
                <c:pt idx="9">
                  <c:v>5.887</c:v>
                </c:pt>
                <c:pt idx="10">
                  <c:v>5.923</c:v>
                </c:pt>
                <c:pt idx="11">
                  <c:v>5.735</c:v>
                </c:pt>
                <c:pt idx="12">
                  <c:v>6.176</c:v>
                </c:pt>
                <c:pt idx="13">
                  <c:v>2.986</c:v>
                </c:pt>
                <c:pt idx="14">
                  <c:v>2.673</c:v>
                </c:pt>
                <c:pt idx="15">
                  <c:v>2.394</c:v>
                </c:pt>
                <c:pt idx="16">
                  <c:v>2.193</c:v>
                </c:pt>
                <c:pt idx="17">
                  <c:v>1.308</c:v>
                </c:pt>
                <c:pt idx="18">
                  <c:v>1.329</c:v>
                </c:pt>
              </c:numCache>
            </c:numRef>
          </c:yVal>
          <c:smooth val="0"/>
        </c:ser>
        <c:axId val="87851645"/>
        <c:axId val="91883221"/>
      </c:scatterChart>
      <c:valAx>
        <c:axId val="87851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83221"/>
        <c:crosses val="autoZero"/>
        <c:crossBetween val="midCat"/>
      </c:valAx>
      <c:valAx>
        <c:axId val="91883221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5164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Sun 5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Profiles!$Y$3:$Y$15</c:f>
              <c:numCache>
                <c:formatCode>General</c:formatCode>
                <c:ptCount val="13"/>
                <c:pt idx="0">
                  <c:v>0</c:v>
                </c:pt>
                <c:pt idx="1">
                  <c:v>0.19</c:v>
                </c:pt>
                <c:pt idx="2">
                  <c:v>0.39</c:v>
                </c:pt>
                <c:pt idx="3">
                  <c:v>0.59</c:v>
                </c:pt>
                <c:pt idx="4">
                  <c:v>0.79</c:v>
                </c:pt>
                <c:pt idx="5">
                  <c:v>0.99</c:v>
                </c:pt>
                <c:pt idx="6">
                  <c:v>1.19</c:v>
                </c:pt>
                <c:pt idx="7">
                  <c:v>1.39</c:v>
                </c:pt>
                <c:pt idx="8">
                  <c:v>1.59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</c:numCache>
            </c:numRef>
          </c:xVal>
          <c:yVal>
            <c:numRef>
              <c:f>Profiles!$AC$3:$AC$15</c:f>
              <c:numCache>
                <c:formatCode>General</c:formatCode>
                <c:ptCount val="13"/>
                <c:pt idx="0">
                  <c:v>4.822</c:v>
                </c:pt>
                <c:pt idx="1">
                  <c:v>4.656</c:v>
                </c:pt>
                <c:pt idx="2">
                  <c:v>4.539</c:v>
                </c:pt>
                <c:pt idx="3">
                  <c:v>4.539</c:v>
                </c:pt>
                <c:pt idx="4">
                  <c:v>4.544</c:v>
                </c:pt>
                <c:pt idx="5">
                  <c:v>4.26</c:v>
                </c:pt>
                <c:pt idx="6">
                  <c:v>4.254</c:v>
                </c:pt>
                <c:pt idx="7">
                  <c:v>4.273</c:v>
                </c:pt>
                <c:pt idx="8">
                  <c:v>4.249</c:v>
                </c:pt>
                <c:pt idx="9">
                  <c:v>4.213</c:v>
                </c:pt>
                <c:pt idx="10">
                  <c:v>4.205</c:v>
                </c:pt>
                <c:pt idx="11">
                  <c:v>4.159</c:v>
                </c:pt>
                <c:pt idx="12">
                  <c:v>4.152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Profiles!$Y$3:$Y$15</c:f>
              <c:numCache>
                <c:formatCode>General</c:formatCode>
                <c:ptCount val="13"/>
                <c:pt idx="0">
                  <c:v>0</c:v>
                </c:pt>
                <c:pt idx="1">
                  <c:v>0.19</c:v>
                </c:pt>
                <c:pt idx="2">
                  <c:v>0.39</c:v>
                </c:pt>
                <c:pt idx="3">
                  <c:v>0.59</c:v>
                </c:pt>
                <c:pt idx="4">
                  <c:v>0.79</c:v>
                </c:pt>
                <c:pt idx="5">
                  <c:v>0.99</c:v>
                </c:pt>
                <c:pt idx="6">
                  <c:v>1.19</c:v>
                </c:pt>
                <c:pt idx="7">
                  <c:v>1.39</c:v>
                </c:pt>
                <c:pt idx="8">
                  <c:v>1.59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</c:numCache>
            </c:numRef>
          </c:xVal>
          <c:yVal>
            <c:numRef>
              <c:f>Profiles!$AA$3:$AA$15</c:f>
              <c:numCache>
                <c:formatCode>General</c:formatCode>
                <c:ptCount val="13"/>
                <c:pt idx="0">
                  <c:v>2.539</c:v>
                </c:pt>
                <c:pt idx="1">
                  <c:v>14.512</c:v>
                </c:pt>
                <c:pt idx="2">
                  <c:v>8.026</c:v>
                </c:pt>
                <c:pt idx="3">
                  <c:v>6.951</c:v>
                </c:pt>
                <c:pt idx="4">
                  <c:v>5.509</c:v>
                </c:pt>
                <c:pt idx="5">
                  <c:v>6.12</c:v>
                </c:pt>
                <c:pt idx="6">
                  <c:v>6.319</c:v>
                </c:pt>
                <c:pt idx="7">
                  <c:v>5.574</c:v>
                </c:pt>
                <c:pt idx="8">
                  <c:v>2.207</c:v>
                </c:pt>
                <c:pt idx="9">
                  <c:v>1.413</c:v>
                </c:pt>
                <c:pt idx="10">
                  <c:v>1.309</c:v>
                </c:pt>
                <c:pt idx="11">
                  <c:v>1.324</c:v>
                </c:pt>
                <c:pt idx="12">
                  <c:v>1.341</c:v>
                </c:pt>
              </c:numCache>
            </c:numRef>
          </c:yVal>
          <c:smooth val="0"/>
        </c:ser>
        <c:axId val="97823762"/>
        <c:axId val="64474236"/>
      </c:scatterChart>
      <c:valAx>
        <c:axId val="978237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74236"/>
        <c:crosses val="autoZero"/>
        <c:crossBetween val="midCat"/>
      </c:valAx>
      <c:valAx>
        <c:axId val="64474236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237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Sun 6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Profiles!$AE$3:$AE$15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Profiles!$AI$3:$AI$15</c:f>
              <c:numCache>
                <c:formatCode>General</c:formatCode>
                <c:ptCount val="13"/>
                <c:pt idx="0">
                  <c:v>3.945</c:v>
                </c:pt>
                <c:pt idx="1">
                  <c:v>3.834</c:v>
                </c:pt>
                <c:pt idx="2">
                  <c:v>3.833</c:v>
                </c:pt>
                <c:pt idx="3">
                  <c:v>3.906</c:v>
                </c:pt>
                <c:pt idx="4">
                  <c:v>3.701</c:v>
                </c:pt>
                <c:pt idx="5">
                  <c:v>3.652</c:v>
                </c:pt>
                <c:pt idx="6">
                  <c:v>3.679</c:v>
                </c:pt>
                <c:pt idx="7">
                  <c:v>3.511</c:v>
                </c:pt>
                <c:pt idx="8">
                  <c:v>3.477</c:v>
                </c:pt>
                <c:pt idx="9">
                  <c:v>3.419</c:v>
                </c:pt>
                <c:pt idx="10">
                  <c:v>3.381</c:v>
                </c:pt>
                <c:pt idx="11">
                  <c:v>3.354</c:v>
                </c:pt>
                <c:pt idx="12">
                  <c:v>3.369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Profiles!$AE$3:$AE$15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Profiles!$AG$3:$AG$15</c:f>
              <c:numCache>
                <c:formatCode>General</c:formatCode>
                <c:ptCount val="13"/>
                <c:pt idx="0">
                  <c:v>15.059</c:v>
                </c:pt>
                <c:pt idx="1">
                  <c:v>9.207</c:v>
                </c:pt>
                <c:pt idx="2">
                  <c:v>7.191</c:v>
                </c:pt>
                <c:pt idx="3">
                  <c:v>5.853</c:v>
                </c:pt>
                <c:pt idx="4">
                  <c:v>5.642</c:v>
                </c:pt>
                <c:pt idx="5">
                  <c:v>5.914</c:v>
                </c:pt>
                <c:pt idx="6">
                  <c:v>5.849</c:v>
                </c:pt>
                <c:pt idx="7">
                  <c:v>2.306</c:v>
                </c:pt>
                <c:pt idx="8">
                  <c:v>2.109</c:v>
                </c:pt>
                <c:pt idx="9">
                  <c:v>1.33</c:v>
                </c:pt>
                <c:pt idx="10">
                  <c:v>1.305</c:v>
                </c:pt>
                <c:pt idx="11">
                  <c:v>1.302</c:v>
                </c:pt>
                <c:pt idx="12">
                  <c:v>1.316</c:v>
                </c:pt>
              </c:numCache>
            </c:numRef>
          </c:yVal>
          <c:smooth val="0"/>
        </c:ser>
        <c:axId val="70626723"/>
        <c:axId val="98702686"/>
      </c:scatterChart>
      <c:valAx>
        <c:axId val="706267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02686"/>
        <c:crosses val="autoZero"/>
        <c:crossBetween val="midCat"/>
      </c:valAx>
      <c:valAx>
        <c:axId val="98702686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2672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Sun 7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Profiles!$AK$3:$AK$15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Profiles!$AO$3:$AO$15</c:f>
              <c:numCache>
                <c:formatCode>General</c:formatCode>
                <c:ptCount val="13"/>
                <c:pt idx="0">
                  <c:v>3.351</c:v>
                </c:pt>
                <c:pt idx="1">
                  <c:v>3.189</c:v>
                </c:pt>
                <c:pt idx="2">
                  <c:v>3.196</c:v>
                </c:pt>
                <c:pt idx="3">
                  <c:v>3.171</c:v>
                </c:pt>
                <c:pt idx="4">
                  <c:v>3.088</c:v>
                </c:pt>
                <c:pt idx="5">
                  <c:v>2.679</c:v>
                </c:pt>
                <c:pt idx="6">
                  <c:v>1.703</c:v>
                </c:pt>
                <c:pt idx="7">
                  <c:v>1.575</c:v>
                </c:pt>
                <c:pt idx="8">
                  <c:v>1.398</c:v>
                </c:pt>
                <c:pt idx="9">
                  <c:v>1.733</c:v>
                </c:pt>
                <c:pt idx="10">
                  <c:v>1.935</c:v>
                </c:pt>
                <c:pt idx="11">
                  <c:v>1.62</c:v>
                </c:pt>
                <c:pt idx="12">
                  <c:v>1.371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Profiles!$AK$3:$AK$15</c:f>
              <c:numCache>
                <c:formatCode>General</c:formatCode>
                <c:ptCount val="1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</c:numCache>
            </c:numRef>
          </c:xVal>
          <c:yVal>
            <c:numRef>
              <c:f>Profiles!$AM$3:$AM$15</c:f>
              <c:numCache>
                <c:formatCode>General</c:formatCode>
                <c:ptCount val="13"/>
                <c:pt idx="0">
                  <c:v>8.014</c:v>
                </c:pt>
                <c:pt idx="1">
                  <c:v>10.871</c:v>
                </c:pt>
                <c:pt idx="2">
                  <c:v>7.704</c:v>
                </c:pt>
                <c:pt idx="3">
                  <c:v>5.893</c:v>
                </c:pt>
                <c:pt idx="4">
                  <c:v>6.158</c:v>
                </c:pt>
                <c:pt idx="5">
                  <c:v>5.968</c:v>
                </c:pt>
                <c:pt idx="6">
                  <c:v>5.769</c:v>
                </c:pt>
                <c:pt idx="7">
                  <c:v>1.84</c:v>
                </c:pt>
                <c:pt idx="8">
                  <c:v>1.315</c:v>
                </c:pt>
                <c:pt idx="9">
                  <c:v>1.307</c:v>
                </c:pt>
                <c:pt idx="10">
                  <c:v>1.302</c:v>
                </c:pt>
                <c:pt idx="11">
                  <c:v>1.293</c:v>
                </c:pt>
                <c:pt idx="12">
                  <c:v>1.3</c:v>
                </c:pt>
              </c:numCache>
            </c:numRef>
          </c:yVal>
          <c:smooth val="0"/>
        </c:ser>
        <c:axId val="65776838"/>
        <c:axId val="1862217"/>
      </c:scatterChart>
      <c:valAx>
        <c:axId val="657768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2217"/>
        <c:crosses val="autoZero"/>
        <c:crossBetween val="midCat"/>
      </c:valAx>
      <c:valAx>
        <c:axId val="1862217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7683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Shade 1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Profiles!$AQ$3:$AQ$66</c:f>
              <c:numCache>
                <c:formatCode>General</c:formatCode>
                <c:ptCount val="64"/>
                <c:pt idx="0">
                  <c:v>0</c:v>
                </c:pt>
                <c:pt idx="1">
                  <c:v>0.2</c:v>
                </c:pt>
                <c:pt idx="2">
                  <c:v>0.41</c:v>
                </c:pt>
                <c:pt idx="3">
                  <c:v>0.61</c:v>
                </c:pt>
                <c:pt idx="4">
                  <c:v>0.81</c:v>
                </c:pt>
                <c:pt idx="5">
                  <c:v>1.02</c:v>
                </c:pt>
                <c:pt idx="6">
                  <c:v>1.22</c:v>
                </c:pt>
                <c:pt idx="7">
                  <c:v>1.42</c:v>
                </c:pt>
                <c:pt idx="8">
                  <c:v>1.62</c:v>
                </c:pt>
                <c:pt idx="9">
                  <c:v>1.82</c:v>
                </c:pt>
                <c:pt idx="10">
                  <c:v>2.02</c:v>
                </c:pt>
                <c:pt idx="11">
                  <c:v>2.22</c:v>
                </c:pt>
                <c:pt idx="12">
                  <c:v>2.42</c:v>
                </c:pt>
                <c:pt idx="13">
                  <c:v>2.62</c:v>
                </c:pt>
                <c:pt idx="14">
                  <c:v>2.82</c:v>
                </c:pt>
                <c:pt idx="15">
                  <c:v>3.02</c:v>
                </c:pt>
                <c:pt idx="16">
                  <c:v>3.22</c:v>
                </c:pt>
                <c:pt idx="17">
                  <c:v>3.42</c:v>
                </c:pt>
                <c:pt idx="18">
                  <c:v>3.62</c:v>
                </c:pt>
                <c:pt idx="19">
                  <c:v>3.82</c:v>
                </c:pt>
                <c:pt idx="20">
                  <c:v>4.02</c:v>
                </c:pt>
                <c:pt idx="21">
                  <c:v>4.22</c:v>
                </c:pt>
                <c:pt idx="22">
                  <c:v>4.42</c:v>
                </c:pt>
                <c:pt idx="23">
                  <c:v>4.62</c:v>
                </c:pt>
                <c:pt idx="24">
                  <c:v>4.82</c:v>
                </c:pt>
                <c:pt idx="25">
                  <c:v>5.02</c:v>
                </c:pt>
                <c:pt idx="26">
                  <c:v>5.22</c:v>
                </c:pt>
                <c:pt idx="27">
                  <c:v>5.42</c:v>
                </c:pt>
                <c:pt idx="28">
                  <c:v>5.62</c:v>
                </c:pt>
                <c:pt idx="29">
                  <c:v>5.82</c:v>
                </c:pt>
                <c:pt idx="30">
                  <c:v>6.02</c:v>
                </c:pt>
                <c:pt idx="31">
                  <c:v>6.22</c:v>
                </c:pt>
                <c:pt idx="32">
                  <c:v>6.42</c:v>
                </c:pt>
                <c:pt idx="33">
                  <c:v>6.62</c:v>
                </c:pt>
                <c:pt idx="34">
                  <c:v>6.82</c:v>
                </c:pt>
                <c:pt idx="35">
                  <c:v>7.02</c:v>
                </c:pt>
                <c:pt idx="36">
                  <c:v>7.22</c:v>
                </c:pt>
                <c:pt idx="37">
                  <c:v>7.42</c:v>
                </c:pt>
                <c:pt idx="38">
                  <c:v>7.62</c:v>
                </c:pt>
                <c:pt idx="39">
                  <c:v>7.82</c:v>
                </c:pt>
                <c:pt idx="40">
                  <c:v>8.02</c:v>
                </c:pt>
                <c:pt idx="41">
                  <c:v>8.22</c:v>
                </c:pt>
                <c:pt idx="42">
                  <c:v>8.42</c:v>
                </c:pt>
                <c:pt idx="43">
                  <c:v>8.62</c:v>
                </c:pt>
                <c:pt idx="44">
                  <c:v>8.82</c:v>
                </c:pt>
                <c:pt idx="45">
                  <c:v>9.02</c:v>
                </c:pt>
                <c:pt idx="46">
                  <c:v>9.22</c:v>
                </c:pt>
                <c:pt idx="47">
                  <c:v>9.42</c:v>
                </c:pt>
                <c:pt idx="48">
                  <c:v>9.62</c:v>
                </c:pt>
                <c:pt idx="49">
                  <c:v>9.82</c:v>
                </c:pt>
                <c:pt idx="50">
                  <c:v>10.02</c:v>
                </c:pt>
                <c:pt idx="51">
                  <c:v>10.22</c:v>
                </c:pt>
                <c:pt idx="52">
                  <c:v>10.42</c:v>
                </c:pt>
                <c:pt idx="53">
                  <c:v>10.62</c:v>
                </c:pt>
                <c:pt idx="54">
                  <c:v>10.82</c:v>
                </c:pt>
                <c:pt idx="55">
                  <c:v>11.02</c:v>
                </c:pt>
                <c:pt idx="56">
                  <c:v>11.22</c:v>
                </c:pt>
                <c:pt idx="57">
                  <c:v>11.42</c:v>
                </c:pt>
                <c:pt idx="58">
                  <c:v>11.62</c:v>
                </c:pt>
                <c:pt idx="59">
                  <c:v>11.82</c:v>
                </c:pt>
                <c:pt idx="60">
                  <c:v>12.02</c:v>
                </c:pt>
                <c:pt idx="61">
                  <c:v>12.22</c:v>
                </c:pt>
                <c:pt idx="62">
                  <c:v>12.42</c:v>
                </c:pt>
                <c:pt idx="63">
                  <c:v>12.62</c:v>
                </c:pt>
              </c:numCache>
            </c:numRef>
          </c:xVal>
          <c:yVal>
            <c:numRef>
              <c:f>Profiles!$AU$3:$AU$66</c:f>
              <c:numCache>
                <c:formatCode>General</c:formatCode>
                <c:ptCount val="64"/>
                <c:pt idx="0">
                  <c:v>0.128</c:v>
                </c:pt>
                <c:pt idx="1">
                  <c:v>0.13</c:v>
                </c:pt>
                <c:pt idx="2">
                  <c:v>0.13</c:v>
                </c:pt>
                <c:pt idx="3">
                  <c:v>0.131</c:v>
                </c:pt>
                <c:pt idx="4">
                  <c:v>0.121</c:v>
                </c:pt>
                <c:pt idx="5">
                  <c:v>0.118</c:v>
                </c:pt>
                <c:pt idx="6">
                  <c:v>0.135</c:v>
                </c:pt>
                <c:pt idx="7">
                  <c:v>0.149</c:v>
                </c:pt>
                <c:pt idx="8">
                  <c:v>0.192</c:v>
                </c:pt>
                <c:pt idx="9">
                  <c:v>0.206</c:v>
                </c:pt>
                <c:pt idx="10">
                  <c:v>0.211</c:v>
                </c:pt>
                <c:pt idx="11">
                  <c:v>0.248</c:v>
                </c:pt>
                <c:pt idx="12">
                  <c:v>0.258</c:v>
                </c:pt>
                <c:pt idx="13">
                  <c:v>0.255</c:v>
                </c:pt>
                <c:pt idx="14">
                  <c:v>3.732</c:v>
                </c:pt>
                <c:pt idx="15">
                  <c:v>1.722</c:v>
                </c:pt>
                <c:pt idx="16">
                  <c:v>1.313</c:v>
                </c:pt>
                <c:pt idx="17">
                  <c:v>0.645</c:v>
                </c:pt>
                <c:pt idx="18">
                  <c:v>0.188</c:v>
                </c:pt>
                <c:pt idx="19">
                  <c:v>0.162</c:v>
                </c:pt>
                <c:pt idx="20">
                  <c:v>0.114</c:v>
                </c:pt>
                <c:pt idx="21">
                  <c:v>0.07</c:v>
                </c:pt>
                <c:pt idx="22">
                  <c:v>0.079</c:v>
                </c:pt>
                <c:pt idx="23">
                  <c:v>0.054</c:v>
                </c:pt>
                <c:pt idx="24">
                  <c:v>0.053</c:v>
                </c:pt>
                <c:pt idx="25">
                  <c:v>0.061</c:v>
                </c:pt>
                <c:pt idx="26">
                  <c:v>0.065</c:v>
                </c:pt>
                <c:pt idx="27">
                  <c:v>0.072</c:v>
                </c:pt>
                <c:pt idx="28">
                  <c:v>0.07</c:v>
                </c:pt>
                <c:pt idx="29">
                  <c:v>0.058</c:v>
                </c:pt>
                <c:pt idx="30">
                  <c:v>0.061</c:v>
                </c:pt>
                <c:pt idx="31">
                  <c:v>0.058</c:v>
                </c:pt>
                <c:pt idx="32">
                  <c:v>0.049</c:v>
                </c:pt>
                <c:pt idx="33">
                  <c:v>0.062</c:v>
                </c:pt>
                <c:pt idx="34">
                  <c:v>0.045</c:v>
                </c:pt>
                <c:pt idx="35">
                  <c:v>0.056</c:v>
                </c:pt>
                <c:pt idx="36">
                  <c:v>0.051</c:v>
                </c:pt>
                <c:pt idx="37">
                  <c:v>0.05</c:v>
                </c:pt>
                <c:pt idx="38">
                  <c:v>0.038</c:v>
                </c:pt>
                <c:pt idx="39">
                  <c:v>0.038</c:v>
                </c:pt>
                <c:pt idx="40">
                  <c:v>0.029</c:v>
                </c:pt>
                <c:pt idx="41">
                  <c:v>0.025</c:v>
                </c:pt>
                <c:pt idx="42">
                  <c:v>0.027</c:v>
                </c:pt>
                <c:pt idx="43">
                  <c:v>0.021</c:v>
                </c:pt>
                <c:pt idx="44">
                  <c:v>0.021</c:v>
                </c:pt>
                <c:pt idx="45">
                  <c:v>0.019</c:v>
                </c:pt>
                <c:pt idx="46">
                  <c:v>0.022</c:v>
                </c:pt>
                <c:pt idx="47">
                  <c:v>0.036</c:v>
                </c:pt>
                <c:pt idx="48">
                  <c:v>0.037</c:v>
                </c:pt>
                <c:pt idx="49">
                  <c:v>0.053</c:v>
                </c:pt>
                <c:pt idx="50">
                  <c:v>0.041</c:v>
                </c:pt>
                <c:pt idx="51">
                  <c:v>0.055</c:v>
                </c:pt>
                <c:pt idx="52">
                  <c:v>0.06</c:v>
                </c:pt>
                <c:pt idx="53">
                  <c:v>0.051</c:v>
                </c:pt>
                <c:pt idx="54">
                  <c:v>0.095</c:v>
                </c:pt>
                <c:pt idx="55">
                  <c:v>0.171</c:v>
                </c:pt>
                <c:pt idx="56">
                  <c:v>0.234</c:v>
                </c:pt>
                <c:pt idx="57">
                  <c:v>2.987</c:v>
                </c:pt>
                <c:pt idx="58">
                  <c:v>0.597</c:v>
                </c:pt>
                <c:pt idx="59">
                  <c:v>0.228</c:v>
                </c:pt>
                <c:pt idx="60">
                  <c:v>0.434</c:v>
                </c:pt>
                <c:pt idx="61">
                  <c:v>0.279</c:v>
                </c:pt>
                <c:pt idx="62">
                  <c:v>0.627</c:v>
                </c:pt>
                <c:pt idx="63">
                  <c:v>0.621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Profiles!$AQ$3:$AQ$66</c:f>
              <c:numCache>
                <c:formatCode>General</c:formatCode>
                <c:ptCount val="64"/>
                <c:pt idx="0">
                  <c:v>0</c:v>
                </c:pt>
                <c:pt idx="1">
                  <c:v>0.2</c:v>
                </c:pt>
                <c:pt idx="2">
                  <c:v>0.41</c:v>
                </c:pt>
                <c:pt idx="3">
                  <c:v>0.61</c:v>
                </c:pt>
                <c:pt idx="4">
                  <c:v>0.81</c:v>
                </c:pt>
                <c:pt idx="5">
                  <c:v>1.02</c:v>
                </c:pt>
                <c:pt idx="6">
                  <c:v>1.22</c:v>
                </c:pt>
                <c:pt idx="7">
                  <c:v>1.42</c:v>
                </c:pt>
                <c:pt idx="8">
                  <c:v>1.62</c:v>
                </c:pt>
                <c:pt idx="9">
                  <c:v>1.82</c:v>
                </c:pt>
                <c:pt idx="10">
                  <c:v>2.02</c:v>
                </c:pt>
                <c:pt idx="11">
                  <c:v>2.22</c:v>
                </c:pt>
                <c:pt idx="12">
                  <c:v>2.42</c:v>
                </c:pt>
                <c:pt idx="13">
                  <c:v>2.62</c:v>
                </c:pt>
                <c:pt idx="14">
                  <c:v>2.82</c:v>
                </c:pt>
                <c:pt idx="15">
                  <c:v>3.02</c:v>
                </c:pt>
                <c:pt idx="16">
                  <c:v>3.22</c:v>
                </c:pt>
                <c:pt idx="17">
                  <c:v>3.42</c:v>
                </c:pt>
                <c:pt idx="18">
                  <c:v>3.62</c:v>
                </c:pt>
                <c:pt idx="19">
                  <c:v>3.82</c:v>
                </c:pt>
                <c:pt idx="20">
                  <c:v>4.02</c:v>
                </c:pt>
                <c:pt idx="21">
                  <c:v>4.22</c:v>
                </c:pt>
                <c:pt idx="22">
                  <c:v>4.42</c:v>
                </c:pt>
                <c:pt idx="23">
                  <c:v>4.62</c:v>
                </c:pt>
                <c:pt idx="24">
                  <c:v>4.82</c:v>
                </c:pt>
                <c:pt idx="25">
                  <c:v>5.02</c:v>
                </c:pt>
                <c:pt idx="26">
                  <c:v>5.22</c:v>
                </c:pt>
                <c:pt idx="27">
                  <c:v>5.42</c:v>
                </c:pt>
                <c:pt idx="28">
                  <c:v>5.62</c:v>
                </c:pt>
                <c:pt idx="29">
                  <c:v>5.82</c:v>
                </c:pt>
                <c:pt idx="30">
                  <c:v>6.02</c:v>
                </c:pt>
                <c:pt idx="31">
                  <c:v>6.22</c:v>
                </c:pt>
                <c:pt idx="32">
                  <c:v>6.42</c:v>
                </c:pt>
                <c:pt idx="33">
                  <c:v>6.62</c:v>
                </c:pt>
                <c:pt idx="34">
                  <c:v>6.82</c:v>
                </c:pt>
                <c:pt idx="35">
                  <c:v>7.02</c:v>
                </c:pt>
                <c:pt idx="36">
                  <c:v>7.22</c:v>
                </c:pt>
                <c:pt idx="37">
                  <c:v>7.42</c:v>
                </c:pt>
                <c:pt idx="38">
                  <c:v>7.62</c:v>
                </c:pt>
                <c:pt idx="39">
                  <c:v>7.82</c:v>
                </c:pt>
                <c:pt idx="40">
                  <c:v>8.02</c:v>
                </c:pt>
                <c:pt idx="41">
                  <c:v>8.22</c:v>
                </c:pt>
                <c:pt idx="42">
                  <c:v>8.42</c:v>
                </c:pt>
                <c:pt idx="43">
                  <c:v>8.62</c:v>
                </c:pt>
                <c:pt idx="44">
                  <c:v>8.82</c:v>
                </c:pt>
                <c:pt idx="45">
                  <c:v>9.02</c:v>
                </c:pt>
                <c:pt idx="46">
                  <c:v>9.22</c:v>
                </c:pt>
                <c:pt idx="47">
                  <c:v>9.42</c:v>
                </c:pt>
                <c:pt idx="48">
                  <c:v>9.62</c:v>
                </c:pt>
                <c:pt idx="49">
                  <c:v>9.82</c:v>
                </c:pt>
                <c:pt idx="50">
                  <c:v>10.02</c:v>
                </c:pt>
                <c:pt idx="51">
                  <c:v>10.22</c:v>
                </c:pt>
                <c:pt idx="52">
                  <c:v>10.42</c:v>
                </c:pt>
                <c:pt idx="53">
                  <c:v>10.62</c:v>
                </c:pt>
                <c:pt idx="54">
                  <c:v>10.82</c:v>
                </c:pt>
                <c:pt idx="55">
                  <c:v>11.02</c:v>
                </c:pt>
                <c:pt idx="56">
                  <c:v>11.22</c:v>
                </c:pt>
                <c:pt idx="57">
                  <c:v>11.42</c:v>
                </c:pt>
                <c:pt idx="58">
                  <c:v>11.62</c:v>
                </c:pt>
                <c:pt idx="59">
                  <c:v>11.82</c:v>
                </c:pt>
                <c:pt idx="60">
                  <c:v>12.02</c:v>
                </c:pt>
                <c:pt idx="61">
                  <c:v>12.22</c:v>
                </c:pt>
                <c:pt idx="62">
                  <c:v>12.42</c:v>
                </c:pt>
                <c:pt idx="63">
                  <c:v>12.62</c:v>
                </c:pt>
              </c:numCache>
            </c:numRef>
          </c:xVal>
          <c:yVal>
            <c:numRef>
              <c:f>Profiles!$AS$3:$AS$66</c:f>
              <c:numCache>
                <c:formatCode>General</c:formatCode>
                <c:ptCount val="64"/>
                <c:pt idx="0">
                  <c:v>1.328</c:v>
                </c:pt>
                <c:pt idx="1">
                  <c:v>3.719</c:v>
                </c:pt>
                <c:pt idx="2">
                  <c:v>4.672</c:v>
                </c:pt>
                <c:pt idx="3">
                  <c:v>5.284</c:v>
                </c:pt>
                <c:pt idx="4">
                  <c:v>6.398</c:v>
                </c:pt>
                <c:pt idx="5">
                  <c:v>9.969</c:v>
                </c:pt>
                <c:pt idx="6">
                  <c:v>6.589</c:v>
                </c:pt>
                <c:pt idx="7">
                  <c:v>6.665</c:v>
                </c:pt>
                <c:pt idx="8">
                  <c:v>5.704</c:v>
                </c:pt>
                <c:pt idx="9">
                  <c:v>6.633</c:v>
                </c:pt>
                <c:pt idx="10">
                  <c:v>5.973</c:v>
                </c:pt>
                <c:pt idx="11">
                  <c:v>6.354</c:v>
                </c:pt>
                <c:pt idx="12">
                  <c:v>6.259</c:v>
                </c:pt>
                <c:pt idx="13">
                  <c:v>5.463</c:v>
                </c:pt>
                <c:pt idx="14">
                  <c:v>5.587</c:v>
                </c:pt>
                <c:pt idx="15">
                  <c:v>6.006</c:v>
                </c:pt>
                <c:pt idx="16">
                  <c:v>6.671</c:v>
                </c:pt>
                <c:pt idx="17">
                  <c:v>5.793</c:v>
                </c:pt>
                <c:pt idx="18">
                  <c:v>5.793</c:v>
                </c:pt>
                <c:pt idx="19">
                  <c:v>6.211</c:v>
                </c:pt>
                <c:pt idx="20">
                  <c:v>5.419</c:v>
                </c:pt>
                <c:pt idx="21">
                  <c:v>6.149</c:v>
                </c:pt>
                <c:pt idx="22">
                  <c:v>6.15</c:v>
                </c:pt>
                <c:pt idx="23">
                  <c:v>5.743</c:v>
                </c:pt>
                <c:pt idx="24">
                  <c:v>4.85</c:v>
                </c:pt>
                <c:pt idx="25">
                  <c:v>5.983</c:v>
                </c:pt>
                <c:pt idx="26">
                  <c:v>6.569</c:v>
                </c:pt>
                <c:pt idx="27">
                  <c:v>6.345</c:v>
                </c:pt>
                <c:pt idx="28">
                  <c:v>6.497</c:v>
                </c:pt>
                <c:pt idx="29">
                  <c:v>6.4</c:v>
                </c:pt>
                <c:pt idx="30">
                  <c:v>6.949</c:v>
                </c:pt>
                <c:pt idx="31">
                  <c:v>6.717</c:v>
                </c:pt>
                <c:pt idx="32">
                  <c:v>6.62</c:v>
                </c:pt>
                <c:pt idx="33">
                  <c:v>6.545</c:v>
                </c:pt>
                <c:pt idx="34">
                  <c:v>6.361</c:v>
                </c:pt>
                <c:pt idx="35">
                  <c:v>6.287</c:v>
                </c:pt>
                <c:pt idx="36">
                  <c:v>6.675</c:v>
                </c:pt>
                <c:pt idx="37">
                  <c:v>6.92</c:v>
                </c:pt>
                <c:pt idx="38">
                  <c:v>7.096</c:v>
                </c:pt>
                <c:pt idx="39">
                  <c:v>6.899</c:v>
                </c:pt>
                <c:pt idx="40">
                  <c:v>6.17</c:v>
                </c:pt>
                <c:pt idx="41">
                  <c:v>6.215</c:v>
                </c:pt>
                <c:pt idx="42">
                  <c:v>9.776</c:v>
                </c:pt>
                <c:pt idx="43">
                  <c:v>7.384</c:v>
                </c:pt>
                <c:pt idx="44">
                  <c:v>4.246</c:v>
                </c:pt>
                <c:pt idx="45">
                  <c:v>5.612</c:v>
                </c:pt>
                <c:pt idx="46">
                  <c:v>6.079</c:v>
                </c:pt>
                <c:pt idx="47">
                  <c:v>5.56</c:v>
                </c:pt>
                <c:pt idx="48">
                  <c:v>7.031</c:v>
                </c:pt>
                <c:pt idx="49">
                  <c:v>8.157</c:v>
                </c:pt>
                <c:pt idx="50">
                  <c:v>6.395</c:v>
                </c:pt>
                <c:pt idx="51">
                  <c:v>5.384</c:v>
                </c:pt>
                <c:pt idx="52">
                  <c:v>5.456</c:v>
                </c:pt>
                <c:pt idx="53">
                  <c:v>6.617</c:v>
                </c:pt>
                <c:pt idx="54">
                  <c:v>5.719</c:v>
                </c:pt>
                <c:pt idx="55">
                  <c:v>5.686</c:v>
                </c:pt>
                <c:pt idx="56">
                  <c:v>4.934</c:v>
                </c:pt>
                <c:pt idx="57">
                  <c:v>6.314</c:v>
                </c:pt>
                <c:pt idx="58">
                  <c:v>5.679</c:v>
                </c:pt>
                <c:pt idx="59">
                  <c:v>2.066</c:v>
                </c:pt>
                <c:pt idx="60">
                  <c:v>1.315</c:v>
                </c:pt>
                <c:pt idx="61">
                  <c:v>1.307</c:v>
                </c:pt>
                <c:pt idx="62">
                  <c:v>1.312</c:v>
                </c:pt>
                <c:pt idx="63">
                  <c:v>1.307</c:v>
                </c:pt>
              </c:numCache>
            </c:numRef>
          </c:yVal>
          <c:smooth val="0"/>
        </c:ser>
        <c:axId val="53325763"/>
        <c:axId val="42425688"/>
      </c:scatterChart>
      <c:valAx>
        <c:axId val="53325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25688"/>
        <c:crosses val="autoZero"/>
        <c:crossBetween val="midCat"/>
      </c:valAx>
      <c:valAx>
        <c:axId val="42425688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2576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Shade 2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Profiles!$AW$3:$AW$22</c:f>
              <c:numCache>
                <c:formatCode>General</c:formatCode>
                <c:ptCount val="2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</c:numCache>
            </c:numRef>
          </c:xVal>
          <c:yVal>
            <c:numRef>
              <c:f>Profiles!$BA$3:$BA$22</c:f>
              <c:numCache>
                <c:formatCode>General</c:formatCode>
                <c:ptCount val="20"/>
                <c:pt idx="0">
                  <c:v>0.677</c:v>
                </c:pt>
                <c:pt idx="1">
                  <c:v>0.834</c:v>
                </c:pt>
                <c:pt idx="2">
                  <c:v>3.037</c:v>
                </c:pt>
                <c:pt idx="3">
                  <c:v>2.576</c:v>
                </c:pt>
                <c:pt idx="4">
                  <c:v>2.147</c:v>
                </c:pt>
                <c:pt idx="5">
                  <c:v>0.172</c:v>
                </c:pt>
                <c:pt idx="6">
                  <c:v>0.193</c:v>
                </c:pt>
                <c:pt idx="7">
                  <c:v>0.138</c:v>
                </c:pt>
                <c:pt idx="8">
                  <c:v>0.06</c:v>
                </c:pt>
                <c:pt idx="9">
                  <c:v>0.045</c:v>
                </c:pt>
                <c:pt idx="10">
                  <c:v>0.083</c:v>
                </c:pt>
                <c:pt idx="11">
                  <c:v>0.153</c:v>
                </c:pt>
                <c:pt idx="12">
                  <c:v>0.197</c:v>
                </c:pt>
                <c:pt idx="13">
                  <c:v>0.18</c:v>
                </c:pt>
                <c:pt idx="14">
                  <c:v>0.134</c:v>
                </c:pt>
                <c:pt idx="15">
                  <c:v>0.147</c:v>
                </c:pt>
                <c:pt idx="16">
                  <c:v>0.159</c:v>
                </c:pt>
                <c:pt idx="17">
                  <c:v>0.155</c:v>
                </c:pt>
                <c:pt idx="18">
                  <c:v>0.158</c:v>
                </c:pt>
                <c:pt idx="19">
                  <c:v>0.155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Profiles!$AW$3:$AW$22</c:f>
              <c:numCache>
                <c:formatCode>General</c:formatCode>
                <c:ptCount val="2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</c:numCache>
            </c:numRef>
          </c:xVal>
          <c:yVal>
            <c:numRef>
              <c:f>Profiles!$AY$3:$AY$22</c:f>
              <c:numCache>
                <c:formatCode>General</c:formatCode>
                <c:ptCount val="20"/>
                <c:pt idx="0">
                  <c:v>8.213</c:v>
                </c:pt>
                <c:pt idx="1">
                  <c:v>11.498</c:v>
                </c:pt>
                <c:pt idx="2">
                  <c:v>8.278</c:v>
                </c:pt>
                <c:pt idx="3">
                  <c:v>7.789</c:v>
                </c:pt>
                <c:pt idx="4">
                  <c:v>6.432</c:v>
                </c:pt>
                <c:pt idx="5">
                  <c:v>6.938</c:v>
                </c:pt>
                <c:pt idx="6">
                  <c:v>6.434</c:v>
                </c:pt>
                <c:pt idx="7">
                  <c:v>5.956</c:v>
                </c:pt>
                <c:pt idx="8">
                  <c:v>5.671</c:v>
                </c:pt>
                <c:pt idx="9">
                  <c:v>5.636</c:v>
                </c:pt>
                <c:pt idx="10">
                  <c:v>5.399</c:v>
                </c:pt>
                <c:pt idx="11">
                  <c:v>5.578</c:v>
                </c:pt>
                <c:pt idx="12">
                  <c:v>5.047</c:v>
                </c:pt>
                <c:pt idx="13">
                  <c:v>5.737</c:v>
                </c:pt>
                <c:pt idx="14">
                  <c:v>2.293</c:v>
                </c:pt>
                <c:pt idx="15">
                  <c:v>1.309</c:v>
                </c:pt>
                <c:pt idx="16">
                  <c:v>1.557</c:v>
                </c:pt>
                <c:pt idx="17">
                  <c:v>1.329</c:v>
                </c:pt>
                <c:pt idx="18">
                  <c:v>1.32</c:v>
                </c:pt>
                <c:pt idx="19">
                  <c:v>1.317</c:v>
                </c:pt>
              </c:numCache>
            </c:numRef>
          </c:yVal>
          <c:smooth val="0"/>
        </c:ser>
        <c:axId val="63943849"/>
        <c:axId val="7234975"/>
      </c:scatterChart>
      <c:valAx>
        <c:axId val="639438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4975"/>
        <c:crosses val="autoZero"/>
        <c:crossBetween val="midCat"/>
      </c:valAx>
      <c:valAx>
        <c:axId val="7234975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438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Shade 3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Profiles!$BC$3:$BC$20</c:f>
              <c:numCache>
                <c:formatCode>General</c:formatCode>
                <c:ptCount val="1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2.63</c:v>
                </c:pt>
                <c:pt idx="14">
                  <c:v>2.81</c:v>
                </c:pt>
                <c:pt idx="15">
                  <c:v>3.01</c:v>
                </c:pt>
                <c:pt idx="16">
                  <c:v>3.22</c:v>
                </c:pt>
                <c:pt idx="17">
                  <c:v>3.42</c:v>
                </c:pt>
              </c:numCache>
            </c:numRef>
          </c:xVal>
          <c:yVal>
            <c:numRef>
              <c:f>Profiles!$BG$3:$BG$20</c:f>
              <c:numCache>
                <c:formatCode>General</c:formatCode>
                <c:ptCount val="18"/>
                <c:pt idx="0">
                  <c:v>0.163</c:v>
                </c:pt>
                <c:pt idx="1">
                  <c:v>0.224</c:v>
                </c:pt>
                <c:pt idx="2">
                  <c:v>0.282</c:v>
                </c:pt>
                <c:pt idx="3">
                  <c:v>0.154</c:v>
                </c:pt>
                <c:pt idx="4">
                  <c:v>0.127</c:v>
                </c:pt>
                <c:pt idx="5">
                  <c:v>0.133</c:v>
                </c:pt>
                <c:pt idx="6">
                  <c:v>0.149</c:v>
                </c:pt>
                <c:pt idx="7">
                  <c:v>0.117</c:v>
                </c:pt>
                <c:pt idx="8">
                  <c:v>0.073</c:v>
                </c:pt>
                <c:pt idx="9">
                  <c:v>0.142</c:v>
                </c:pt>
                <c:pt idx="10">
                  <c:v>0.127</c:v>
                </c:pt>
                <c:pt idx="11">
                  <c:v>0.115</c:v>
                </c:pt>
                <c:pt idx="12">
                  <c:v>0.169</c:v>
                </c:pt>
                <c:pt idx="13">
                  <c:v>0.143</c:v>
                </c:pt>
                <c:pt idx="14">
                  <c:v>0.069</c:v>
                </c:pt>
                <c:pt idx="15">
                  <c:v>0.047</c:v>
                </c:pt>
                <c:pt idx="16">
                  <c:v>0.042</c:v>
                </c:pt>
                <c:pt idx="17">
                  <c:v>0.05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Profiles!$BC$3:$BC$20</c:f>
              <c:numCache>
                <c:formatCode>General</c:formatCode>
                <c:ptCount val="1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2.63</c:v>
                </c:pt>
                <c:pt idx="14">
                  <c:v>2.81</c:v>
                </c:pt>
                <c:pt idx="15">
                  <c:v>3.01</c:v>
                </c:pt>
                <c:pt idx="16">
                  <c:v>3.22</c:v>
                </c:pt>
                <c:pt idx="17">
                  <c:v>3.42</c:v>
                </c:pt>
              </c:numCache>
            </c:numRef>
          </c:xVal>
          <c:yVal>
            <c:numRef>
              <c:f>Profiles!$BE$3:$BE$20</c:f>
              <c:numCache>
                <c:formatCode>General</c:formatCode>
                <c:ptCount val="18"/>
                <c:pt idx="0">
                  <c:v>9.223</c:v>
                </c:pt>
                <c:pt idx="1">
                  <c:v>11.021</c:v>
                </c:pt>
                <c:pt idx="2">
                  <c:v>6.557</c:v>
                </c:pt>
                <c:pt idx="3">
                  <c:v>6.154</c:v>
                </c:pt>
                <c:pt idx="4">
                  <c:v>6.253</c:v>
                </c:pt>
                <c:pt idx="5">
                  <c:v>7.501</c:v>
                </c:pt>
                <c:pt idx="6">
                  <c:v>7.147</c:v>
                </c:pt>
                <c:pt idx="7">
                  <c:v>6.41</c:v>
                </c:pt>
                <c:pt idx="8">
                  <c:v>6.857</c:v>
                </c:pt>
                <c:pt idx="9">
                  <c:v>7.048</c:v>
                </c:pt>
                <c:pt idx="10">
                  <c:v>6.246</c:v>
                </c:pt>
                <c:pt idx="11">
                  <c:v>6.178</c:v>
                </c:pt>
                <c:pt idx="12">
                  <c:v>6.567</c:v>
                </c:pt>
                <c:pt idx="13">
                  <c:v>2.301</c:v>
                </c:pt>
                <c:pt idx="14">
                  <c:v>1.316</c:v>
                </c:pt>
                <c:pt idx="15">
                  <c:v>1.377</c:v>
                </c:pt>
                <c:pt idx="16">
                  <c:v>1.302</c:v>
                </c:pt>
                <c:pt idx="17">
                  <c:v>1.31</c:v>
                </c:pt>
              </c:numCache>
            </c:numRef>
          </c:yVal>
          <c:smooth val="0"/>
        </c:ser>
        <c:axId val="49645770"/>
        <c:axId val="69603301"/>
      </c:scatterChart>
      <c:valAx>
        <c:axId val="496457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03301"/>
        <c:crosses val="autoZero"/>
        <c:crossBetween val="midCat"/>
      </c:valAx>
      <c:valAx>
        <c:axId val="69603301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4577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Shade 4 — load vs 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Profiles!$BI$3:$BI$20</c:f>
              <c:numCache>
                <c:formatCode>General</c:formatCode>
                <c:ptCount val="18"/>
                <c:pt idx="0">
                  <c:v>0</c:v>
                </c:pt>
                <c:pt idx="1">
                  <c:v>0.18</c:v>
                </c:pt>
                <c:pt idx="2">
                  <c:v>0.38</c:v>
                </c:pt>
                <c:pt idx="3">
                  <c:v>0.59</c:v>
                </c:pt>
                <c:pt idx="4">
                  <c:v>0.78</c:v>
                </c:pt>
                <c:pt idx="5">
                  <c:v>0.98</c:v>
                </c:pt>
                <c:pt idx="6">
                  <c:v>1.18</c:v>
                </c:pt>
                <c:pt idx="7">
                  <c:v>1.38</c:v>
                </c:pt>
                <c:pt idx="8">
                  <c:v>1.58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</c:numCache>
            </c:numRef>
          </c:xVal>
          <c:yVal>
            <c:numRef>
              <c:f>Profiles!$BM$3:$BM$20</c:f>
              <c:numCache>
                <c:formatCode>General</c:formatCode>
                <c:ptCount val="18"/>
                <c:pt idx="0">
                  <c:v>0.045</c:v>
                </c:pt>
                <c:pt idx="1">
                  <c:v>0.051</c:v>
                </c:pt>
                <c:pt idx="2">
                  <c:v>0.045</c:v>
                </c:pt>
                <c:pt idx="3">
                  <c:v>0.05</c:v>
                </c:pt>
                <c:pt idx="4">
                  <c:v>0.05</c:v>
                </c:pt>
                <c:pt idx="5">
                  <c:v>0.047</c:v>
                </c:pt>
                <c:pt idx="6">
                  <c:v>0.038</c:v>
                </c:pt>
                <c:pt idx="7">
                  <c:v>0.045</c:v>
                </c:pt>
                <c:pt idx="8">
                  <c:v>0.048</c:v>
                </c:pt>
                <c:pt idx="9">
                  <c:v>0.026</c:v>
                </c:pt>
                <c:pt idx="10">
                  <c:v>0.026</c:v>
                </c:pt>
                <c:pt idx="11">
                  <c:v>0.024</c:v>
                </c:pt>
                <c:pt idx="12">
                  <c:v>0.032</c:v>
                </c:pt>
                <c:pt idx="13">
                  <c:v>0.026</c:v>
                </c:pt>
                <c:pt idx="14">
                  <c:v>0.026</c:v>
                </c:pt>
                <c:pt idx="15">
                  <c:v>0.027</c:v>
                </c:pt>
                <c:pt idx="16">
                  <c:v>0.025</c:v>
                </c:pt>
                <c:pt idx="17">
                  <c:v>0.028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"Load power"</c:f>
              <c:strCache>
                <c:ptCount val="1"/>
                <c:pt idx="0">
                  <c:v>Load power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Profiles!$BI$3:$BI$20</c:f>
              <c:numCache>
                <c:formatCode>General</c:formatCode>
                <c:ptCount val="18"/>
                <c:pt idx="0">
                  <c:v>0</c:v>
                </c:pt>
                <c:pt idx="1">
                  <c:v>0.18</c:v>
                </c:pt>
                <c:pt idx="2">
                  <c:v>0.38</c:v>
                </c:pt>
                <c:pt idx="3">
                  <c:v>0.59</c:v>
                </c:pt>
                <c:pt idx="4">
                  <c:v>0.78</c:v>
                </c:pt>
                <c:pt idx="5">
                  <c:v>0.98</c:v>
                </c:pt>
                <c:pt idx="6">
                  <c:v>1.18</c:v>
                </c:pt>
                <c:pt idx="7">
                  <c:v>1.38</c:v>
                </c:pt>
                <c:pt idx="8">
                  <c:v>1.58</c:v>
                </c:pt>
                <c:pt idx="9">
                  <c:v>1.79</c:v>
                </c:pt>
                <c:pt idx="10">
                  <c:v>1.99</c:v>
                </c:pt>
                <c:pt idx="11">
                  <c:v>2.19</c:v>
                </c:pt>
                <c:pt idx="12">
                  <c:v>2.39</c:v>
                </c:pt>
                <c:pt idx="13">
                  <c:v>2.59</c:v>
                </c:pt>
                <c:pt idx="14">
                  <c:v>2.79</c:v>
                </c:pt>
                <c:pt idx="15">
                  <c:v>2.99</c:v>
                </c:pt>
                <c:pt idx="16">
                  <c:v>3.19</c:v>
                </c:pt>
                <c:pt idx="17">
                  <c:v>3.39</c:v>
                </c:pt>
              </c:numCache>
            </c:numRef>
          </c:xVal>
          <c:yVal>
            <c:numRef>
              <c:f>Profiles!$BK$3:$BK$20</c:f>
              <c:numCache>
                <c:formatCode>General</c:formatCode>
                <c:ptCount val="18"/>
                <c:pt idx="0">
                  <c:v>3.397</c:v>
                </c:pt>
                <c:pt idx="1">
                  <c:v>12.779</c:v>
                </c:pt>
                <c:pt idx="2">
                  <c:v>8.584</c:v>
                </c:pt>
                <c:pt idx="3">
                  <c:v>6.764</c:v>
                </c:pt>
                <c:pt idx="4">
                  <c:v>6.501</c:v>
                </c:pt>
                <c:pt idx="5">
                  <c:v>5.754</c:v>
                </c:pt>
                <c:pt idx="6">
                  <c:v>7.042</c:v>
                </c:pt>
                <c:pt idx="7">
                  <c:v>6.601</c:v>
                </c:pt>
                <c:pt idx="8">
                  <c:v>6.43</c:v>
                </c:pt>
                <c:pt idx="9">
                  <c:v>6.509</c:v>
                </c:pt>
                <c:pt idx="10">
                  <c:v>7.257</c:v>
                </c:pt>
                <c:pt idx="11">
                  <c:v>6.163</c:v>
                </c:pt>
                <c:pt idx="12">
                  <c:v>2.158</c:v>
                </c:pt>
                <c:pt idx="13">
                  <c:v>1.309</c:v>
                </c:pt>
                <c:pt idx="14">
                  <c:v>1.31</c:v>
                </c:pt>
                <c:pt idx="15">
                  <c:v>1.311</c:v>
                </c:pt>
                <c:pt idx="16">
                  <c:v>1.321</c:v>
                </c:pt>
                <c:pt idx="17">
                  <c:v>1.312</c:v>
                </c:pt>
              </c:numCache>
            </c:numRef>
          </c:yVal>
          <c:smooth val="0"/>
        </c:ser>
        <c:axId val="75628703"/>
        <c:axId val="21434131"/>
      </c:scatterChart>
      <c:valAx>
        <c:axId val="756287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34131"/>
        <c:crosses val="autoZero"/>
        <c:crossBetween val="midCat"/>
      </c:valAx>
      <c:valAx>
        <c:axId val="21434131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2870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Charge 1 — parked in sun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Profiles!$BO$3:$BO$25</c:f>
              <c:numCache>
                <c:formatCode>General</c:formatCode>
                <c:ptCount val="23"/>
                <c:pt idx="0">
                  <c:v>0</c:v>
                </c:pt>
                <c:pt idx="1">
                  <c:v>0.19</c:v>
                </c:pt>
                <c:pt idx="2">
                  <c:v>0.4</c:v>
                </c:pt>
                <c:pt idx="3">
                  <c:v>0.6</c:v>
                </c:pt>
                <c:pt idx="4">
                  <c:v>0.79</c:v>
                </c:pt>
                <c:pt idx="5">
                  <c:v>1</c:v>
                </c:pt>
                <c:pt idx="6">
                  <c:v>1.19</c:v>
                </c:pt>
                <c:pt idx="7">
                  <c:v>1.4</c:v>
                </c:pt>
                <c:pt idx="8">
                  <c:v>1.6</c:v>
                </c:pt>
                <c:pt idx="9">
                  <c:v>1.79</c:v>
                </c:pt>
                <c:pt idx="10">
                  <c:v>2</c:v>
                </c:pt>
                <c:pt idx="11">
                  <c:v>2.19</c:v>
                </c:pt>
                <c:pt idx="12">
                  <c:v>2.4</c:v>
                </c:pt>
                <c:pt idx="13">
                  <c:v>2.6</c:v>
                </c:pt>
                <c:pt idx="14">
                  <c:v>2.79</c:v>
                </c:pt>
                <c:pt idx="15">
                  <c:v>3</c:v>
                </c:pt>
                <c:pt idx="16">
                  <c:v>3.19</c:v>
                </c:pt>
                <c:pt idx="17">
                  <c:v>3.4</c:v>
                </c:pt>
                <c:pt idx="18">
                  <c:v>3.6</c:v>
                </c:pt>
                <c:pt idx="19">
                  <c:v>3.79</c:v>
                </c:pt>
                <c:pt idx="20">
                  <c:v>3.99</c:v>
                </c:pt>
                <c:pt idx="21">
                  <c:v>4.19</c:v>
                </c:pt>
                <c:pt idx="22">
                  <c:v>4.39</c:v>
                </c:pt>
              </c:numCache>
            </c:numRef>
          </c:xVal>
          <c:yVal>
            <c:numRef>
              <c:f>Profiles!$BP$3:$BP$25</c:f>
              <c:numCache>
                <c:formatCode>General</c:formatCode>
                <c:ptCount val="23"/>
                <c:pt idx="0">
                  <c:v>5.611</c:v>
                </c:pt>
                <c:pt idx="1">
                  <c:v>5.605</c:v>
                </c:pt>
                <c:pt idx="2">
                  <c:v>5.612</c:v>
                </c:pt>
                <c:pt idx="3">
                  <c:v>5.629</c:v>
                </c:pt>
                <c:pt idx="4">
                  <c:v>5.635</c:v>
                </c:pt>
                <c:pt idx="5">
                  <c:v>5.641</c:v>
                </c:pt>
                <c:pt idx="6">
                  <c:v>5.647</c:v>
                </c:pt>
                <c:pt idx="7">
                  <c:v>5.681</c:v>
                </c:pt>
                <c:pt idx="8">
                  <c:v>5.694</c:v>
                </c:pt>
                <c:pt idx="9">
                  <c:v>5.713</c:v>
                </c:pt>
                <c:pt idx="10">
                  <c:v>5.737</c:v>
                </c:pt>
                <c:pt idx="11">
                  <c:v>5.763</c:v>
                </c:pt>
                <c:pt idx="12">
                  <c:v>5.771</c:v>
                </c:pt>
                <c:pt idx="13">
                  <c:v>5.776</c:v>
                </c:pt>
                <c:pt idx="14">
                  <c:v>5.792</c:v>
                </c:pt>
                <c:pt idx="15">
                  <c:v>5.799</c:v>
                </c:pt>
                <c:pt idx="16">
                  <c:v>5.797</c:v>
                </c:pt>
                <c:pt idx="17">
                  <c:v>5.803</c:v>
                </c:pt>
                <c:pt idx="18">
                  <c:v>5.804</c:v>
                </c:pt>
                <c:pt idx="19">
                  <c:v>5.799</c:v>
                </c:pt>
                <c:pt idx="20">
                  <c:v>5.792</c:v>
                </c:pt>
                <c:pt idx="21">
                  <c:v>5.786</c:v>
                </c:pt>
                <c:pt idx="22">
                  <c:v>5.789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"Electronics load"</c:f>
              <c:strCache>
                <c:ptCount val="1"/>
                <c:pt idx="0">
                  <c:v>Electronics load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Profiles!$BO$3:$BO$25</c:f>
              <c:numCache>
                <c:formatCode>General</c:formatCode>
                <c:ptCount val="23"/>
                <c:pt idx="0">
                  <c:v>0</c:v>
                </c:pt>
                <c:pt idx="1">
                  <c:v>0.19</c:v>
                </c:pt>
                <c:pt idx="2">
                  <c:v>0.4</c:v>
                </c:pt>
                <c:pt idx="3">
                  <c:v>0.6</c:v>
                </c:pt>
                <c:pt idx="4">
                  <c:v>0.79</c:v>
                </c:pt>
                <c:pt idx="5">
                  <c:v>1</c:v>
                </c:pt>
                <c:pt idx="6">
                  <c:v>1.19</c:v>
                </c:pt>
                <c:pt idx="7">
                  <c:v>1.4</c:v>
                </c:pt>
                <c:pt idx="8">
                  <c:v>1.6</c:v>
                </c:pt>
                <c:pt idx="9">
                  <c:v>1.79</c:v>
                </c:pt>
                <c:pt idx="10">
                  <c:v>2</c:v>
                </c:pt>
                <c:pt idx="11">
                  <c:v>2.19</c:v>
                </c:pt>
                <c:pt idx="12">
                  <c:v>2.4</c:v>
                </c:pt>
                <c:pt idx="13">
                  <c:v>2.6</c:v>
                </c:pt>
                <c:pt idx="14">
                  <c:v>2.79</c:v>
                </c:pt>
                <c:pt idx="15">
                  <c:v>3</c:v>
                </c:pt>
                <c:pt idx="16">
                  <c:v>3.19</c:v>
                </c:pt>
                <c:pt idx="17">
                  <c:v>3.4</c:v>
                </c:pt>
                <c:pt idx="18">
                  <c:v>3.6</c:v>
                </c:pt>
                <c:pt idx="19">
                  <c:v>3.79</c:v>
                </c:pt>
                <c:pt idx="20">
                  <c:v>3.99</c:v>
                </c:pt>
                <c:pt idx="21">
                  <c:v>4.19</c:v>
                </c:pt>
                <c:pt idx="22">
                  <c:v>4.39</c:v>
                </c:pt>
              </c:numCache>
            </c:numRef>
          </c:xVal>
          <c:yVal>
            <c:numRef>
              <c:f>Profiles!$BQ$3:$BQ$25</c:f>
              <c:numCache>
                <c:formatCode>General</c:formatCode>
                <c:ptCount val="23"/>
                <c:pt idx="0">
                  <c:v>1.345</c:v>
                </c:pt>
                <c:pt idx="1">
                  <c:v>1.339</c:v>
                </c:pt>
                <c:pt idx="2">
                  <c:v>1.346</c:v>
                </c:pt>
                <c:pt idx="3">
                  <c:v>1.351</c:v>
                </c:pt>
                <c:pt idx="4">
                  <c:v>1.332</c:v>
                </c:pt>
                <c:pt idx="5">
                  <c:v>1.351</c:v>
                </c:pt>
                <c:pt idx="6">
                  <c:v>1.763</c:v>
                </c:pt>
                <c:pt idx="7">
                  <c:v>1.354</c:v>
                </c:pt>
                <c:pt idx="8">
                  <c:v>1.331</c:v>
                </c:pt>
                <c:pt idx="9">
                  <c:v>1.361</c:v>
                </c:pt>
                <c:pt idx="10">
                  <c:v>1.349</c:v>
                </c:pt>
                <c:pt idx="11">
                  <c:v>1.35</c:v>
                </c:pt>
                <c:pt idx="12">
                  <c:v>1.358</c:v>
                </c:pt>
                <c:pt idx="13">
                  <c:v>1.399</c:v>
                </c:pt>
                <c:pt idx="14">
                  <c:v>1.343</c:v>
                </c:pt>
                <c:pt idx="15">
                  <c:v>1.361</c:v>
                </c:pt>
                <c:pt idx="16">
                  <c:v>1.347</c:v>
                </c:pt>
                <c:pt idx="17">
                  <c:v>1.341</c:v>
                </c:pt>
                <c:pt idx="18">
                  <c:v>1.354</c:v>
                </c:pt>
                <c:pt idx="19">
                  <c:v>1.35</c:v>
                </c:pt>
                <c:pt idx="20">
                  <c:v>1.354</c:v>
                </c:pt>
                <c:pt idx="21">
                  <c:v>1.349</c:v>
                </c:pt>
                <c:pt idx="22">
                  <c:v>1.352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"Into battery"</c:f>
              <c:strCache>
                <c:ptCount val="1"/>
                <c:pt idx="0">
                  <c:v>Into battery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Profiles!$BO$3:$BO$25</c:f>
              <c:numCache>
                <c:formatCode>General</c:formatCode>
                <c:ptCount val="23"/>
                <c:pt idx="0">
                  <c:v>0</c:v>
                </c:pt>
                <c:pt idx="1">
                  <c:v>0.19</c:v>
                </c:pt>
                <c:pt idx="2">
                  <c:v>0.4</c:v>
                </c:pt>
                <c:pt idx="3">
                  <c:v>0.6</c:v>
                </c:pt>
                <c:pt idx="4">
                  <c:v>0.79</c:v>
                </c:pt>
                <c:pt idx="5">
                  <c:v>1</c:v>
                </c:pt>
                <c:pt idx="6">
                  <c:v>1.19</c:v>
                </c:pt>
                <c:pt idx="7">
                  <c:v>1.4</c:v>
                </c:pt>
                <c:pt idx="8">
                  <c:v>1.6</c:v>
                </c:pt>
                <c:pt idx="9">
                  <c:v>1.79</c:v>
                </c:pt>
                <c:pt idx="10">
                  <c:v>2</c:v>
                </c:pt>
                <c:pt idx="11">
                  <c:v>2.19</c:v>
                </c:pt>
                <c:pt idx="12">
                  <c:v>2.4</c:v>
                </c:pt>
                <c:pt idx="13">
                  <c:v>2.6</c:v>
                </c:pt>
                <c:pt idx="14">
                  <c:v>2.79</c:v>
                </c:pt>
                <c:pt idx="15">
                  <c:v>3</c:v>
                </c:pt>
                <c:pt idx="16">
                  <c:v>3.19</c:v>
                </c:pt>
                <c:pt idx="17">
                  <c:v>3.4</c:v>
                </c:pt>
                <c:pt idx="18">
                  <c:v>3.6</c:v>
                </c:pt>
                <c:pt idx="19">
                  <c:v>3.79</c:v>
                </c:pt>
                <c:pt idx="20">
                  <c:v>3.99</c:v>
                </c:pt>
                <c:pt idx="21">
                  <c:v>4.19</c:v>
                </c:pt>
                <c:pt idx="22">
                  <c:v>4.39</c:v>
                </c:pt>
              </c:numCache>
            </c:numRef>
          </c:xVal>
          <c:yVal>
            <c:numRef>
              <c:f>Profiles!$BR$3:$BR$25</c:f>
              <c:numCache>
                <c:formatCode>General</c:formatCode>
                <c:ptCount val="23"/>
                <c:pt idx="0">
                  <c:v>4.132</c:v>
                </c:pt>
                <c:pt idx="1">
                  <c:v>4.132</c:v>
                </c:pt>
                <c:pt idx="2">
                  <c:v>4.131</c:v>
                </c:pt>
                <c:pt idx="3">
                  <c:v>4.144</c:v>
                </c:pt>
                <c:pt idx="4">
                  <c:v>4.168</c:v>
                </c:pt>
                <c:pt idx="5">
                  <c:v>4.157</c:v>
                </c:pt>
                <c:pt idx="6">
                  <c:v>3.748</c:v>
                </c:pt>
                <c:pt idx="7">
                  <c:v>4.193</c:v>
                </c:pt>
                <c:pt idx="8">
                  <c:v>4.229</c:v>
                </c:pt>
                <c:pt idx="9">
                  <c:v>4.217</c:v>
                </c:pt>
                <c:pt idx="10">
                  <c:v>4.253</c:v>
                </c:pt>
                <c:pt idx="11">
                  <c:v>4.278</c:v>
                </c:pt>
                <c:pt idx="12">
                  <c:v>4.277</c:v>
                </c:pt>
                <c:pt idx="13">
                  <c:v>4.241</c:v>
                </c:pt>
                <c:pt idx="14">
                  <c:v>4.314</c:v>
                </c:pt>
                <c:pt idx="15">
                  <c:v>4.302</c:v>
                </c:pt>
                <c:pt idx="16">
                  <c:v>4.312</c:v>
                </c:pt>
                <c:pt idx="17">
                  <c:v>4.326</c:v>
                </c:pt>
                <c:pt idx="18">
                  <c:v>4.314</c:v>
                </c:pt>
                <c:pt idx="19">
                  <c:v>4.314</c:v>
                </c:pt>
                <c:pt idx="20">
                  <c:v>4.301</c:v>
                </c:pt>
                <c:pt idx="21">
                  <c:v>4.302</c:v>
                </c:pt>
                <c:pt idx="22">
                  <c:v>4.302</c:v>
                </c:pt>
              </c:numCache>
            </c:numRef>
          </c:yVal>
          <c:smooth val="0"/>
        </c:ser>
        <c:axId val="76085674"/>
        <c:axId val="94357467"/>
      </c:scatterChart>
      <c:valAx>
        <c:axId val="760856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stopping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57467"/>
        <c:crosses val="autoZero"/>
        <c:crossBetween val="midCat"/>
      </c:valAx>
      <c:valAx>
        <c:axId val="94357467"/>
        <c:scaling>
          <c:orientation val="minMax"/>
          <c:max val="7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8567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Charge 2 — parked in sun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"PV power"</c:f>
              <c:strCache>
                <c:ptCount val="1"/>
                <c:pt idx="0">
                  <c:v>PV power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Profiles!$BT$3:$BT$89</c:f>
              <c:numCache>
                <c:formatCode>General</c:formatCode>
                <c:ptCount val="8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8.2</c:v>
                </c:pt>
                <c:pt idx="42">
                  <c:v>8.4</c:v>
                </c:pt>
                <c:pt idx="43">
                  <c:v>8.6</c:v>
                </c:pt>
                <c:pt idx="44">
                  <c:v>8.8</c:v>
                </c:pt>
                <c:pt idx="45">
                  <c:v>9</c:v>
                </c:pt>
                <c:pt idx="46">
                  <c:v>9.2</c:v>
                </c:pt>
                <c:pt idx="47">
                  <c:v>9.4</c:v>
                </c:pt>
                <c:pt idx="48">
                  <c:v>9.6</c:v>
                </c:pt>
                <c:pt idx="49">
                  <c:v>9.8</c:v>
                </c:pt>
                <c:pt idx="50">
                  <c:v>10</c:v>
                </c:pt>
                <c:pt idx="51">
                  <c:v>10.2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16.4</c:v>
                </c:pt>
                <c:pt idx="83">
                  <c:v>16.6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</c:numCache>
            </c:numRef>
          </c:xVal>
          <c:yVal>
            <c:numRef>
              <c:f>Profiles!$BU$3:$BU$89</c:f>
              <c:numCache>
                <c:formatCode>General</c:formatCode>
                <c:ptCount val="87"/>
                <c:pt idx="0">
                  <c:v>3.925</c:v>
                </c:pt>
                <c:pt idx="1">
                  <c:v>3.933</c:v>
                </c:pt>
                <c:pt idx="2">
                  <c:v>3.908</c:v>
                </c:pt>
                <c:pt idx="3">
                  <c:v>3.949</c:v>
                </c:pt>
                <c:pt idx="4">
                  <c:v>3.97</c:v>
                </c:pt>
                <c:pt idx="5">
                  <c:v>4.018</c:v>
                </c:pt>
                <c:pt idx="6">
                  <c:v>4.057</c:v>
                </c:pt>
                <c:pt idx="7">
                  <c:v>4.107</c:v>
                </c:pt>
                <c:pt idx="8">
                  <c:v>4.165</c:v>
                </c:pt>
                <c:pt idx="9">
                  <c:v>4.223</c:v>
                </c:pt>
                <c:pt idx="10">
                  <c:v>4.261</c:v>
                </c:pt>
                <c:pt idx="11">
                  <c:v>4.269</c:v>
                </c:pt>
                <c:pt idx="12">
                  <c:v>4.29</c:v>
                </c:pt>
                <c:pt idx="13">
                  <c:v>4.306</c:v>
                </c:pt>
                <c:pt idx="14">
                  <c:v>4.329</c:v>
                </c:pt>
                <c:pt idx="15">
                  <c:v>4.343</c:v>
                </c:pt>
                <c:pt idx="16">
                  <c:v>4.359</c:v>
                </c:pt>
                <c:pt idx="17">
                  <c:v>4.359</c:v>
                </c:pt>
                <c:pt idx="18">
                  <c:v>4.342</c:v>
                </c:pt>
                <c:pt idx="19">
                  <c:v>4.317</c:v>
                </c:pt>
                <c:pt idx="20">
                  <c:v>4.286</c:v>
                </c:pt>
                <c:pt idx="21">
                  <c:v>4.257</c:v>
                </c:pt>
                <c:pt idx="22">
                  <c:v>4.225</c:v>
                </c:pt>
                <c:pt idx="23">
                  <c:v>4.218</c:v>
                </c:pt>
                <c:pt idx="24">
                  <c:v>4.198</c:v>
                </c:pt>
                <c:pt idx="25">
                  <c:v>4.205</c:v>
                </c:pt>
                <c:pt idx="26">
                  <c:v>4.198</c:v>
                </c:pt>
                <c:pt idx="27">
                  <c:v>4.206</c:v>
                </c:pt>
                <c:pt idx="28">
                  <c:v>4.203</c:v>
                </c:pt>
                <c:pt idx="29">
                  <c:v>4.216</c:v>
                </c:pt>
                <c:pt idx="30">
                  <c:v>4.236</c:v>
                </c:pt>
                <c:pt idx="31">
                  <c:v>4.353</c:v>
                </c:pt>
                <c:pt idx="32">
                  <c:v>4.496</c:v>
                </c:pt>
                <c:pt idx="33">
                  <c:v>4.612</c:v>
                </c:pt>
                <c:pt idx="34">
                  <c:v>4.615</c:v>
                </c:pt>
                <c:pt idx="35">
                  <c:v>4.834</c:v>
                </c:pt>
                <c:pt idx="36">
                  <c:v>4.926</c:v>
                </c:pt>
                <c:pt idx="37">
                  <c:v>4.863</c:v>
                </c:pt>
                <c:pt idx="38">
                  <c:v>5.074</c:v>
                </c:pt>
                <c:pt idx="39">
                  <c:v>5.177</c:v>
                </c:pt>
                <c:pt idx="40">
                  <c:v>5.181</c:v>
                </c:pt>
                <c:pt idx="41">
                  <c:v>5.163</c:v>
                </c:pt>
                <c:pt idx="42">
                  <c:v>5.104</c:v>
                </c:pt>
                <c:pt idx="43">
                  <c:v>4.955</c:v>
                </c:pt>
                <c:pt idx="44">
                  <c:v>5.111</c:v>
                </c:pt>
                <c:pt idx="45">
                  <c:v>5.195</c:v>
                </c:pt>
                <c:pt idx="46">
                  <c:v>5.356</c:v>
                </c:pt>
                <c:pt idx="47">
                  <c:v>5.409</c:v>
                </c:pt>
                <c:pt idx="48">
                  <c:v>5.489</c:v>
                </c:pt>
                <c:pt idx="49">
                  <c:v>5.522</c:v>
                </c:pt>
                <c:pt idx="50">
                  <c:v>5.49</c:v>
                </c:pt>
                <c:pt idx="51">
                  <c:v>5.529</c:v>
                </c:pt>
                <c:pt idx="52">
                  <c:v>5.51</c:v>
                </c:pt>
                <c:pt idx="53">
                  <c:v>5.079</c:v>
                </c:pt>
                <c:pt idx="54">
                  <c:v>5.231</c:v>
                </c:pt>
                <c:pt idx="55">
                  <c:v>5.224</c:v>
                </c:pt>
                <c:pt idx="56">
                  <c:v>5.207</c:v>
                </c:pt>
                <c:pt idx="57">
                  <c:v>5.168</c:v>
                </c:pt>
                <c:pt idx="58">
                  <c:v>5.132</c:v>
                </c:pt>
                <c:pt idx="59">
                  <c:v>5.071</c:v>
                </c:pt>
                <c:pt idx="60">
                  <c:v>0.375</c:v>
                </c:pt>
                <c:pt idx="61">
                  <c:v>5.193</c:v>
                </c:pt>
                <c:pt idx="62">
                  <c:v>5.224</c:v>
                </c:pt>
                <c:pt idx="63">
                  <c:v>5.235</c:v>
                </c:pt>
                <c:pt idx="64">
                  <c:v>5.24</c:v>
                </c:pt>
                <c:pt idx="65">
                  <c:v>5.252</c:v>
                </c:pt>
                <c:pt idx="66">
                  <c:v>5.254</c:v>
                </c:pt>
                <c:pt idx="67">
                  <c:v>5.254</c:v>
                </c:pt>
                <c:pt idx="68">
                  <c:v>5.259</c:v>
                </c:pt>
                <c:pt idx="69">
                  <c:v>5.262</c:v>
                </c:pt>
                <c:pt idx="70">
                  <c:v>5.261</c:v>
                </c:pt>
                <c:pt idx="71">
                  <c:v>5.27</c:v>
                </c:pt>
                <c:pt idx="72">
                  <c:v>5.269</c:v>
                </c:pt>
                <c:pt idx="73">
                  <c:v>5.267</c:v>
                </c:pt>
                <c:pt idx="74">
                  <c:v>5.278</c:v>
                </c:pt>
                <c:pt idx="75">
                  <c:v>5.272</c:v>
                </c:pt>
                <c:pt idx="76">
                  <c:v>5.286</c:v>
                </c:pt>
                <c:pt idx="77">
                  <c:v>5.292</c:v>
                </c:pt>
                <c:pt idx="78">
                  <c:v>5.297</c:v>
                </c:pt>
                <c:pt idx="79">
                  <c:v>5.31</c:v>
                </c:pt>
                <c:pt idx="80">
                  <c:v>5.315</c:v>
                </c:pt>
                <c:pt idx="81">
                  <c:v>5.319</c:v>
                </c:pt>
                <c:pt idx="82">
                  <c:v>5.323</c:v>
                </c:pt>
                <c:pt idx="83">
                  <c:v>5.326</c:v>
                </c:pt>
                <c:pt idx="84">
                  <c:v>5.321</c:v>
                </c:pt>
                <c:pt idx="85">
                  <c:v>5.328</c:v>
                </c:pt>
                <c:pt idx="86">
                  <c:v>5.329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"Electronics load"</c:f>
              <c:strCache>
                <c:ptCount val="1"/>
                <c:pt idx="0">
                  <c:v>Electronics load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Profiles!$BT$3:$BT$89</c:f>
              <c:numCache>
                <c:formatCode>General</c:formatCode>
                <c:ptCount val="8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8.2</c:v>
                </c:pt>
                <c:pt idx="42">
                  <c:v>8.4</c:v>
                </c:pt>
                <c:pt idx="43">
                  <c:v>8.6</c:v>
                </c:pt>
                <c:pt idx="44">
                  <c:v>8.8</c:v>
                </c:pt>
                <c:pt idx="45">
                  <c:v>9</c:v>
                </c:pt>
                <c:pt idx="46">
                  <c:v>9.2</c:v>
                </c:pt>
                <c:pt idx="47">
                  <c:v>9.4</c:v>
                </c:pt>
                <c:pt idx="48">
                  <c:v>9.6</c:v>
                </c:pt>
                <c:pt idx="49">
                  <c:v>9.8</c:v>
                </c:pt>
                <c:pt idx="50">
                  <c:v>10</c:v>
                </c:pt>
                <c:pt idx="51">
                  <c:v>10.2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16.4</c:v>
                </c:pt>
                <c:pt idx="83">
                  <c:v>16.6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</c:numCache>
            </c:numRef>
          </c:xVal>
          <c:yVal>
            <c:numRef>
              <c:f>Profiles!$BV$3:$BV$89</c:f>
              <c:numCache>
                <c:formatCode>General</c:formatCode>
                <c:ptCount val="87"/>
                <c:pt idx="0">
                  <c:v>1.322</c:v>
                </c:pt>
                <c:pt idx="1">
                  <c:v>1.318</c:v>
                </c:pt>
                <c:pt idx="2">
                  <c:v>1.746</c:v>
                </c:pt>
                <c:pt idx="3">
                  <c:v>1.31</c:v>
                </c:pt>
                <c:pt idx="4">
                  <c:v>1.318</c:v>
                </c:pt>
                <c:pt idx="5">
                  <c:v>1.317</c:v>
                </c:pt>
                <c:pt idx="6">
                  <c:v>1.308</c:v>
                </c:pt>
                <c:pt idx="7">
                  <c:v>1.321</c:v>
                </c:pt>
                <c:pt idx="8">
                  <c:v>1.318</c:v>
                </c:pt>
                <c:pt idx="9">
                  <c:v>1.314</c:v>
                </c:pt>
                <c:pt idx="10">
                  <c:v>1.316</c:v>
                </c:pt>
                <c:pt idx="11">
                  <c:v>1.372</c:v>
                </c:pt>
                <c:pt idx="12">
                  <c:v>1.297</c:v>
                </c:pt>
                <c:pt idx="13">
                  <c:v>1.312</c:v>
                </c:pt>
                <c:pt idx="14">
                  <c:v>1.311</c:v>
                </c:pt>
                <c:pt idx="15">
                  <c:v>1.325</c:v>
                </c:pt>
                <c:pt idx="16">
                  <c:v>1.328</c:v>
                </c:pt>
                <c:pt idx="17">
                  <c:v>1.316</c:v>
                </c:pt>
                <c:pt idx="18">
                  <c:v>1.311</c:v>
                </c:pt>
                <c:pt idx="19">
                  <c:v>1.323</c:v>
                </c:pt>
                <c:pt idx="20">
                  <c:v>1.317</c:v>
                </c:pt>
                <c:pt idx="21">
                  <c:v>1.312</c:v>
                </c:pt>
                <c:pt idx="22">
                  <c:v>1.305</c:v>
                </c:pt>
                <c:pt idx="23">
                  <c:v>1.322</c:v>
                </c:pt>
                <c:pt idx="24">
                  <c:v>1.54</c:v>
                </c:pt>
                <c:pt idx="25">
                  <c:v>1.321</c:v>
                </c:pt>
                <c:pt idx="26">
                  <c:v>1.315</c:v>
                </c:pt>
                <c:pt idx="27">
                  <c:v>1.31</c:v>
                </c:pt>
                <c:pt idx="28">
                  <c:v>1.308</c:v>
                </c:pt>
                <c:pt idx="29">
                  <c:v>1.308</c:v>
                </c:pt>
                <c:pt idx="30">
                  <c:v>1.352</c:v>
                </c:pt>
                <c:pt idx="31">
                  <c:v>1.322</c:v>
                </c:pt>
                <c:pt idx="32">
                  <c:v>1.331</c:v>
                </c:pt>
                <c:pt idx="33">
                  <c:v>1.325</c:v>
                </c:pt>
                <c:pt idx="34">
                  <c:v>1.327</c:v>
                </c:pt>
                <c:pt idx="35">
                  <c:v>1.326</c:v>
                </c:pt>
                <c:pt idx="36">
                  <c:v>1.344</c:v>
                </c:pt>
                <c:pt idx="37">
                  <c:v>1.331</c:v>
                </c:pt>
                <c:pt idx="38">
                  <c:v>1.334</c:v>
                </c:pt>
                <c:pt idx="39">
                  <c:v>1.351</c:v>
                </c:pt>
                <c:pt idx="40">
                  <c:v>1.343</c:v>
                </c:pt>
                <c:pt idx="41">
                  <c:v>1.337</c:v>
                </c:pt>
                <c:pt idx="42">
                  <c:v>1.339</c:v>
                </c:pt>
                <c:pt idx="43">
                  <c:v>1.325</c:v>
                </c:pt>
                <c:pt idx="44">
                  <c:v>1.322</c:v>
                </c:pt>
                <c:pt idx="45">
                  <c:v>1.331</c:v>
                </c:pt>
                <c:pt idx="46">
                  <c:v>1.358</c:v>
                </c:pt>
                <c:pt idx="47">
                  <c:v>1.339</c:v>
                </c:pt>
                <c:pt idx="48">
                  <c:v>1.333</c:v>
                </c:pt>
                <c:pt idx="49">
                  <c:v>1.354</c:v>
                </c:pt>
                <c:pt idx="50">
                  <c:v>1.346</c:v>
                </c:pt>
                <c:pt idx="51">
                  <c:v>1.336</c:v>
                </c:pt>
                <c:pt idx="52">
                  <c:v>1.365</c:v>
                </c:pt>
                <c:pt idx="53">
                  <c:v>1.35</c:v>
                </c:pt>
                <c:pt idx="54">
                  <c:v>1.332</c:v>
                </c:pt>
                <c:pt idx="55">
                  <c:v>1.349</c:v>
                </c:pt>
                <c:pt idx="56">
                  <c:v>1.333</c:v>
                </c:pt>
                <c:pt idx="57">
                  <c:v>1.33</c:v>
                </c:pt>
                <c:pt idx="58">
                  <c:v>1.331</c:v>
                </c:pt>
                <c:pt idx="59">
                  <c:v>1.295</c:v>
                </c:pt>
                <c:pt idx="60">
                  <c:v>1.309</c:v>
                </c:pt>
                <c:pt idx="61">
                  <c:v>1.331</c:v>
                </c:pt>
                <c:pt idx="62">
                  <c:v>1.337</c:v>
                </c:pt>
                <c:pt idx="63">
                  <c:v>1.336</c:v>
                </c:pt>
                <c:pt idx="64">
                  <c:v>1.341</c:v>
                </c:pt>
                <c:pt idx="65">
                  <c:v>1.34</c:v>
                </c:pt>
                <c:pt idx="66">
                  <c:v>1.342</c:v>
                </c:pt>
                <c:pt idx="67">
                  <c:v>1.558</c:v>
                </c:pt>
                <c:pt idx="68">
                  <c:v>1.348</c:v>
                </c:pt>
                <c:pt idx="69">
                  <c:v>1.339</c:v>
                </c:pt>
                <c:pt idx="70">
                  <c:v>1.338</c:v>
                </c:pt>
                <c:pt idx="71">
                  <c:v>1.346</c:v>
                </c:pt>
                <c:pt idx="72">
                  <c:v>1.764</c:v>
                </c:pt>
                <c:pt idx="73">
                  <c:v>1.332</c:v>
                </c:pt>
                <c:pt idx="74">
                  <c:v>1.354</c:v>
                </c:pt>
                <c:pt idx="75">
                  <c:v>1.324</c:v>
                </c:pt>
                <c:pt idx="76">
                  <c:v>1.338</c:v>
                </c:pt>
                <c:pt idx="77">
                  <c:v>1.343</c:v>
                </c:pt>
                <c:pt idx="78">
                  <c:v>1.337</c:v>
                </c:pt>
                <c:pt idx="79">
                  <c:v>1.802</c:v>
                </c:pt>
                <c:pt idx="80">
                  <c:v>1.33</c:v>
                </c:pt>
                <c:pt idx="81">
                  <c:v>1.334</c:v>
                </c:pt>
                <c:pt idx="82">
                  <c:v>1.351</c:v>
                </c:pt>
                <c:pt idx="83">
                  <c:v>1.341</c:v>
                </c:pt>
                <c:pt idx="84">
                  <c:v>1.324</c:v>
                </c:pt>
                <c:pt idx="85">
                  <c:v>1.344</c:v>
                </c:pt>
                <c:pt idx="86">
                  <c:v>1.345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"Into battery"</c:f>
              <c:strCache>
                <c:ptCount val="1"/>
                <c:pt idx="0">
                  <c:v>Into battery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Profiles!$BT$3:$BT$89</c:f>
              <c:numCache>
                <c:formatCode>General</c:formatCode>
                <c:ptCount val="8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8.2</c:v>
                </c:pt>
                <c:pt idx="42">
                  <c:v>8.4</c:v>
                </c:pt>
                <c:pt idx="43">
                  <c:v>8.6</c:v>
                </c:pt>
                <c:pt idx="44">
                  <c:v>8.8</c:v>
                </c:pt>
                <c:pt idx="45">
                  <c:v>9</c:v>
                </c:pt>
                <c:pt idx="46">
                  <c:v>9.2</c:v>
                </c:pt>
                <c:pt idx="47">
                  <c:v>9.4</c:v>
                </c:pt>
                <c:pt idx="48">
                  <c:v>9.6</c:v>
                </c:pt>
                <c:pt idx="49">
                  <c:v>9.8</c:v>
                </c:pt>
                <c:pt idx="50">
                  <c:v>10</c:v>
                </c:pt>
                <c:pt idx="51">
                  <c:v>10.2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16.4</c:v>
                </c:pt>
                <c:pt idx="83">
                  <c:v>16.6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</c:numCache>
            </c:numRef>
          </c:xVal>
          <c:yVal>
            <c:numRef>
              <c:f>Profiles!$BW$3:$BW$89</c:f>
              <c:numCache>
                <c:formatCode>General</c:formatCode>
                <c:ptCount val="87"/>
                <c:pt idx="0">
                  <c:v>2.493</c:v>
                </c:pt>
                <c:pt idx="1">
                  <c:v>2.504</c:v>
                </c:pt>
                <c:pt idx="2">
                  <c:v>2.05</c:v>
                </c:pt>
                <c:pt idx="3">
                  <c:v>2.528</c:v>
                </c:pt>
                <c:pt idx="4">
                  <c:v>2.54</c:v>
                </c:pt>
                <c:pt idx="5">
                  <c:v>2.588</c:v>
                </c:pt>
                <c:pt idx="6">
                  <c:v>2.636</c:v>
                </c:pt>
                <c:pt idx="7">
                  <c:v>2.673</c:v>
                </c:pt>
                <c:pt idx="8">
                  <c:v>2.732</c:v>
                </c:pt>
                <c:pt idx="9">
                  <c:v>2.791</c:v>
                </c:pt>
                <c:pt idx="10">
                  <c:v>2.828</c:v>
                </c:pt>
                <c:pt idx="11">
                  <c:v>2.781</c:v>
                </c:pt>
                <c:pt idx="12">
                  <c:v>2.876</c:v>
                </c:pt>
                <c:pt idx="13">
                  <c:v>2.876</c:v>
                </c:pt>
                <c:pt idx="14">
                  <c:v>2.901</c:v>
                </c:pt>
                <c:pt idx="15">
                  <c:v>2.901</c:v>
                </c:pt>
                <c:pt idx="16">
                  <c:v>2.912</c:v>
                </c:pt>
                <c:pt idx="17">
                  <c:v>2.924</c:v>
                </c:pt>
                <c:pt idx="18">
                  <c:v>2.912</c:v>
                </c:pt>
                <c:pt idx="19">
                  <c:v>2.877</c:v>
                </c:pt>
                <c:pt idx="20">
                  <c:v>2.852</c:v>
                </c:pt>
                <c:pt idx="21">
                  <c:v>2.828</c:v>
                </c:pt>
                <c:pt idx="22">
                  <c:v>2.805</c:v>
                </c:pt>
                <c:pt idx="23">
                  <c:v>2.78</c:v>
                </c:pt>
                <c:pt idx="24">
                  <c:v>2.54</c:v>
                </c:pt>
                <c:pt idx="25">
                  <c:v>2.768</c:v>
                </c:pt>
                <c:pt idx="26">
                  <c:v>2.769</c:v>
                </c:pt>
                <c:pt idx="27">
                  <c:v>2.781</c:v>
                </c:pt>
                <c:pt idx="28">
                  <c:v>2.781</c:v>
                </c:pt>
                <c:pt idx="29">
                  <c:v>2.793</c:v>
                </c:pt>
                <c:pt idx="30">
                  <c:v>2.77</c:v>
                </c:pt>
                <c:pt idx="31">
                  <c:v>2.913</c:v>
                </c:pt>
                <c:pt idx="32">
                  <c:v>3.045</c:v>
                </c:pt>
                <c:pt idx="33">
                  <c:v>3.166</c:v>
                </c:pt>
                <c:pt idx="34">
                  <c:v>3.165</c:v>
                </c:pt>
                <c:pt idx="35">
                  <c:v>3.382</c:v>
                </c:pt>
                <c:pt idx="36">
                  <c:v>3.454</c:v>
                </c:pt>
                <c:pt idx="37">
                  <c:v>3.406</c:v>
                </c:pt>
                <c:pt idx="38">
                  <c:v>3.611</c:v>
                </c:pt>
                <c:pt idx="39">
                  <c:v>3.697</c:v>
                </c:pt>
                <c:pt idx="40">
                  <c:v>3.709</c:v>
                </c:pt>
                <c:pt idx="41">
                  <c:v>3.696</c:v>
                </c:pt>
                <c:pt idx="42">
                  <c:v>3.636</c:v>
                </c:pt>
                <c:pt idx="43">
                  <c:v>3.503</c:v>
                </c:pt>
                <c:pt idx="44">
                  <c:v>3.66</c:v>
                </c:pt>
                <c:pt idx="45">
                  <c:v>3.728</c:v>
                </c:pt>
                <c:pt idx="46">
                  <c:v>3.865</c:v>
                </c:pt>
                <c:pt idx="47">
                  <c:v>3.938</c:v>
                </c:pt>
                <c:pt idx="48">
                  <c:v>4.022</c:v>
                </c:pt>
                <c:pt idx="49">
                  <c:v>4.035</c:v>
                </c:pt>
                <c:pt idx="50">
                  <c:v>4.01</c:v>
                </c:pt>
                <c:pt idx="51">
                  <c:v>4.058</c:v>
                </c:pt>
                <c:pt idx="52">
                  <c:v>4.01</c:v>
                </c:pt>
                <c:pt idx="53">
                  <c:v>3.599</c:v>
                </c:pt>
                <c:pt idx="54">
                  <c:v>3.769</c:v>
                </c:pt>
                <c:pt idx="55">
                  <c:v>3.743</c:v>
                </c:pt>
                <c:pt idx="56">
                  <c:v>3.746</c:v>
                </c:pt>
                <c:pt idx="57">
                  <c:v>3.709</c:v>
                </c:pt>
                <c:pt idx="58">
                  <c:v>3.672</c:v>
                </c:pt>
                <c:pt idx="59">
                  <c:v>3.648</c:v>
                </c:pt>
                <c:pt idx="60">
                  <c:v>-0.947</c:v>
                </c:pt>
                <c:pt idx="61">
                  <c:v>3.733</c:v>
                </c:pt>
                <c:pt idx="62">
                  <c:v>3.757</c:v>
                </c:pt>
                <c:pt idx="63">
                  <c:v>3.77</c:v>
                </c:pt>
                <c:pt idx="64">
                  <c:v>3.769</c:v>
                </c:pt>
                <c:pt idx="65">
                  <c:v>3.781</c:v>
                </c:pt>
                <c:pt idx="66">
                  <c:v>3.781</c:v>
                </c:pt>
                <c:pt idx="67">
                  <c:v>3.565</c:v>
                </c:pt>
                <c:pt idx="68">
                  <c:v>3.782</c:v>
                </c:pt>
                <c:pt idx="69">
                  <c:v>3.794</c:v>
                </c:pt>
                <c:pt idx="70">
                  <c:v>3.794</c:v>
                </c:pt>
                <c:pt idx="71">
                  <c:v>3.793</c:v>
                </c:pt>
                <c:pt idx="72">
                  <c:v>3.375</c:v>
                </c:pt>
                <c:pt idx="73">
                  <c:v>3.806</c:v>
                </c:pt>
                <c:pt idx="74">
                  <c:v>3.794</c:v>
                </c:pt>
                <c:pt idx="75">
                  <c:v>3.818</c:v>
                </c:pt>
                <c:pt idx="76">
                  <c:v>3.817</c:v>
                </c:pt>
                <c:pt idx="77">
                  <c:v>3.816</c:v>
                </c:pt>
                <c:pt idx="78">
                  <c:v>3.83</c:v>
                </c:pt>
                <c:pt idx="79">
                  <c:v>3.371</c:v>
                </c:pt>
                <c:pt idx="80">
                  <c:v>3.853</c:v>
                </c:pt>
                <c:pt idx="81">
                  <c:v>3.853</c:v>
                </c:pt>
                <c:pt idx="82">
                  <c:v>3.843</c:v>
                </c:pt>
                <c:pt idx="83">
                  <c:v>3.853</c:v>
                </c:pt>
                <c:pt idx="84">
                  <c:v>3.865</c:v>
                </c:pt>
                <c:pt idx="85">
                  <c:v>3.855</c:v>
                </c:pt>
                <c:pt idx="86">
                  <c:v>3.855</c:v>
                </c:pt>
              </c:numCache>
            </c:numRef>
          </c:yVal>
          <c:smooth val="0"/>
        </c:ser>
        <c:axId val="60149004"/>
        <c:axId val="69397703"/>
      </c:scatterChart>
      <c:valAx>
        <c:axId val="601490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since stopping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97703"/>
        <c:crosses val="autoZero"/>
        <c:crossBetween val="midCat"/>
      </c:valAx>
      <c:valAx>
        <c:axId val="69397703"/>
        <c:scaling>
          <c:orientation val="minMax"/>
          <c:max val="7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490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Relationship Id="rId9" Type="http://schemas.openxmlformats.org/officeDocument/2006/relationships/chart" Target="../charts/chart21.xml"/><Relationship Id="rId10" Type="http://schemas.openxmlformats.org/officeDocument/2006/relationships/chart" Target="../charts/chart22.xml"/><Relationship Id="rId11" Type="http://schemas.openxmlformats.org/officeDocument/2006/relationships/chart" Target="../charts/chart2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15</xdr:col>
      <xdr:colOff>187200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0" y="38088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15</xdr:col>
      <xdr:colOff>187200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0" y="361944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160560</xdr:rowOff>
    </xdr:from>
    <xdr:to>
      <xdr:col>15</xdr:col>
      <xdr:colOff>187200</xdr:colOff>
      <xdr:row>50</xdr:row>
      <xdr:rowOff>182880</xdr:rowOff>
    </xdr:to>
    <xdr:graphicFrame>
      <xdr:nvGraphicFramePr>
        <xdr:cNvPr id="2" name="Chart 3"/>
        <xdr:cNvGraphicFramePr/>
      </xdr:nvGraphicFramePr>
      <xdr:xfrm>
        <a:off x="0" y="685800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1</xdr:row>
      <xdr:rowOff>160560</xdr:rowOff>
    </xdr:from>
    <xdr:to>
      <xdr:col>26</xdr:col>
      <xdr:colOff>4680</xdr:colOff>
      <xdr:row>16</xdr:row>
      <xdr:rowOff>182520</xdr:rowOff>
    </xdr:to>
    <xdr:graphicFrame>
      <xdr:nvGraphicFramePr>
        <xdr:cNvPr id="3" name="Chart 4"/>
        <xdr:cNvGraphicFramePr/>
      </xdr:nvGraphicFramePr>
      <xdr:xfrm>
        <a:off x="9784080" y="380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10</xdr:col>
      <xdr:colOff>4680</xdr:colOff>
      <xdr:row>17</xdr:row>
      <xdr:rowOff>172080</xdr:rowOff>
    </xdr:to>
    <xdr:graphicFrame>
      <xdr:nvGraphicFramePr>
        <xdr:cNvPr id="4" name="Chart 1"/>
        <xdr:cNvGraphicFramePr/>
      </xdr:nvGraphicFramePr>
      <xdr:xfrm>
        <a:off x="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10</xdr:col>
      <xdr:colOff>4680</xdr:colOff>
      <xdr:row>35</xdr:row>
      <xdr:rowOff>172080</xdr:rowOff>
    </xdr:to>
    <xdr:graphicFrame>
      <xdr:nvGraphicFramePr>
        <xdr:cNvPr id="5" name="Chart 2"/>
        <xdr:cNvGraphicFramePr/>
      </xdr:nvGraphicFramePr>
      <xdr:xfrm>
        <a:off x="0" y="3809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20</xdr:col>
      <xdr:colOff>4320</xdr:colOff>
      <xdr:row>35</xdr:row>
      <xdr:rowOff>172080</xdr:rowOff>
    </xdr:to>
    <xdr:graphicFrame>
      <xdr:nvGraphicFramePr>
        <xdr:cNvPr id="6" name="Chart 3"/>
        <xdr:cNvGraphicFramePr/>
      </xdr:nvGraphicFramePr>
      <xdr:xfrm>
        <a:off x="6114960" y="3809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20</xdr:col>
      <xdr:colOff>4320</xdr:colOff>
      <xdr:row>17</xdr:row>
      <xdr:rowOff>172080</xdr:rowOff>
    </xdr:to>
    <xdr:graphicFrame>
      <xdr:nvGraphicFramePr>
        <xdr:cNvPr id="7" name="Chart 4"/>
        <xdr:cNvGraphicFramePr/>
      </xdr:nvGraphicFramePr>
      <xdr:xfrm>
        <a:off x="611496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10</xdr:col>
      <xdr:colOff>4680</xdr:colOff>
      <xdr:row>17</xdr:row>
      <xdr:rowOff>172080</xdr:rowOff>
    </xdr:to>
    <xdr:graphicFrame>
      <xdr:nvGraphicFramePr>
        <xdr:cNvPr id="8" name="Chart 1"/>
        <xdr:cNvGraphicFramePr/>
      </xdr:nvGraphicFramePr>
      <xdr:xfrm>
        <a:off x="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10</xdr:col>
      <xdr:colOff>4680</xdr:colOff>
      <xdr:row>35</xdr:row>
      <xdr:rowOff>172080</xdr:rowOff>
    </xdr:to>
    <xdr:graphicFrame>
      <xdr:nvGraphicFramePr>
        <xdr:cNvPr id="9" name="Chart 2"/>
        <xdr:cNvGraphicFramePr/>
      </xdr:nvGraphicFramePr>
      <xdr:xfrm>
        <a:off x="0" y="3809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20</xdr:col>
      <xdr:colOff>4320</xdr:colOff>
      <xdr:row>35</xdr:row>
      <xdr:rowOff>172080</xdr:rowOff>
    </xdr:to>
    <xdr:graphicFrame>
      <xdr:nvGraphicFramePr>
        <xdr:cNvPr id="10" name="Chart 3"/>
        <xdr:cNvGraphicFramePr/>
      </xdr:nvGraphicFramePr>
      <xdr:xfrm>
        <a:off x="6114960" y="3809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20</xdr:col>
      <xdr:colOff>4320</xdr:colOff>
      <xdr:row>17</xdr:row>
      <xdr:rowOff>172080</xdr:rowOff>
    </xdr:to>
    <xdr:graphicFrame>
      <xdr:nvGraphicFramePr>
        <xdr:cNvPr id="11" name="Chart 4"/>
        <xdr:cNvGraphicFramePr/>
      </xdr:nvGraphicFramePr>
      <xdr:xfrm>
        <a:off x="611496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7</xdr:col>
      <xdr:colOff>219240</xdr:colOff>
      <xdr:row>15</xdr:row>
      <xdr:rowOff>13320</xdr:rowOff>
    </xdr:to>
    <xdr:graphicFrame>
      <xdr:nvGraphicFramePr>
        <xdr:cNvPr id="12" name="Chart 1"/>
        <xdr:cNvGraphicFramePr/>
      </xdr:nvGraphicFramePr>
      <xdr:xfrm>
        <a:off x="0" y="380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</xdr:row>
      <xdr:rowOff>160560</xdr:rowOff>
    </xdr:from>
    <xdr:to>
      <xdr:col>14</xdr:col>
      <xdr:colOff>218880</xdr:colOff>
      <xdr:row>15</xdr:row>
      <xdr:rowOff>13320</xdr:rowOff>
    </xdr:to>
    <xdr:graphicFrame>
      <xdr:nvGraphicFramePr>
        <xdr:cNvPr id="13" name="Chart 2"/>
        <xdr:cNvGraphicFramePr/>
      </xdr:nvGraphicFramePr>
      <xdr:xfrm>
        <a:off x="4280400" y="380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1</xdr:row>
      <xdr:rowOff>160560</xdr:rowOff>
    </xdr:from>
    <xdr:to>
      <xdr:col>21</xdr:col>
      <xdr:colOff>219240</xdr:colOff>
      <xdr:row>15</xdr:row>
      <xdr:rowOff>13320</xdr:rowOff>
    </xdr:to>
    <xdr:graphicFrame>
      <xdr:nvGraphicFramePr>
        <xdr:cNvPr id="14" name="Chart 3"/>
        <xdr:cNvGraphicFramePr/>
      </xdr:nvGraphicFramePr>
      <xdr:xfrm>
        <a:off x="8561160" y="380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16</xdr:row>
      <xdr:rowOff>160560</xdr:rowOff>
    </xdr:from>
    <xdr:to>
      <xdr:col>7</xdr:col>
      <xdr:colOff>219240</xdr:colOff>
      <xdr:row>30</xdr:row>
      <xdr:rowOff>13320</xdr:rowOff>
    </xdr:to>
    <xdr:graphicFrame>
      <xdr:nvGraphicFramePr>
        <xdr:cNvPr id="15" name="Chart 4"/>
        <xdr:cNvGraphicFramePr/>
      </xdr:nvGraphicFramePr>
      <xdr:xfrm>
        <a:off x="0" y="3238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16</xdr:row>
      <xdr:rowOff>160560</xdr:rowOff>
    </xdr:from>
    <xdr:to>
      <xdr:col>14</xdr:col>
      <xdr:colOff>218880</xdr:colOff>
      <xdr:row>30</xdr:row>
      <xdr:rowOff>13320</xdr:rowOff>
    </xdr:to>
    <xdr:graphicFrame>
      <xdr:nvGraphicFramePr>
        <xdr:cNvPr id="16" name="Chart 5"/>
        <xdr:cNvGraphicFramePr/>
      </xdr:nvGraphicFramePr>
      <xdr:xfrm>
        <a:off x="4280400" y="3238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16</xdr:row>
      <xdr:rowOff>160560</xdr:rowOff>
    </xdr:from>
    <xdr:to>
      <xdr:col>21</xdr:col>
      <xdr:colOff>219240</xdr:colOff>
      <xdr:row>30</xdr:row>
      <xdr:rowOff>13320</xdr:rowOff>
    </xdr:to>
    <xdr:graphicFrame>
      <xdr:nvGraphicFramePr>
        <xdr:cNvPr id="17" name="Chart 6"/>
        <xdr:cNvGraphicFramePr/>
      </xdr:nvGraphicFramePr>
      <xdr:xfrm>
        <a:off x="8561160" y="3238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31</xdr:row>
      <xdr:rowOff>160560</xdr:rowOff>
    </xdr:from>
    <xdr:to>
      <xdr:col>7</xdr:col>
      <xdr:colOff>219240</xdr:colOff>
      <xdr:row>45</xdr:row>
      <xdr:rowOff>13320</xdr:rowOff>
    </xdr:to>
    <xdr:graphicFrame>
      <xdr:nvGraphicFramePr>
        <xdr:cNvPr id="18" name="Chart 7"/>
        <xdr:cNvGraphicFramePr/>
      </xdr:nvGraphicFramePr>
      <xdr:xfrm>
        <a:off x="0" y="6095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31</xdr:row>
      <xdr:rowOff>160560</xdr:rowOff>
    </xdr:from>
    <xdr:to>
      <xdr:col>14</xdr:col>
      <xdr:colOff>218880</xdr:colOff>
      <xdr:row>45</xdr:row>
      <xdr:rowOff>13320</xdr:rowOff>
    </xdr:to>
    <xdr:graphicFrame>
      <xdr:nvGraphicFramePr>
        <xdr:cNvPr id="19" name="Chart 8"/>
        <xdr:cNvGraphicFramePr/>
      </xdr:nvGraphicFramePr>
      <xdr:xfrm>
        <a:off x="4280400" y="6095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14</xdr:col>
      <xdr:colOff>0</xdr:colOff>
      <xdr:row>31</xdr:row>
      <xdr:rowOff>160560</xdr:rowOff>
    </xdr:from>
    <xdr:to>
      <xdr:col>21</xdr:col>
      <xdr:colOff>219240</xdr:colOff>
      <xdr:row>45</xdr:row>
      <xdr:rowOff>13320</xdr:rowOff>
    </xdr:to>
    <xdr:graphicFrame>
      <xdr:nvGraphicFramePr>
        <xdr:cNvPr id="20" name="Chart 9"/>
        <xdr:cNvGraphicFramePr/>
      </xdr:nvGraphicFramePr>
      <xdr:xfrm>
        <a:off x="8561160" y="6095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46</xdr:row>
      <xdr:rowOff>160560</xdr:rowOff>
    </xdr:from>
    <xdr:to>
      <xdr:col>7</xdr:col>
      <xdr:colOff>219240</xdr:colOff>
      <xdr:row>60</xdr:row>
      <xdr:rowOff>13320</xdr:rowOff>
    </xdr:to>
    <xdr:graphicFrame>
      <xdr:nvGraphicFramePr>
        <xdr:cNvPr id="21" name="Chart 10"/>
        <xdr:cNvGraphicFramePr/>
      </xdr:nvGraphicFramePr>
      <xdr:xfrm>
        <a:off x="0" y="8953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7</xdr:col>
      <xdr:colOff>0</xdr:colOff>
      <xdr:row>46</xdr:row>
      <xdr:rowOff>160560</xdr:rowOff>
    </xdr:from>
    <xdr:to>
      <xdr:col>14</xdr:col>
      <xdr:colOff>218880</xdr:colOff>
      <xdr:row>60</xdr:row>
      <xdr:rowOff>13320</xdr:rowOff>
    </xdr:to>
    <xdr:graphicFrame>
      <xdr:nvGraphicFramePr>
        <xdr:cNvPr id="22" name="Chart 11"/>
        <xdr:cNvGraphicFramePr/>
      </xdr:nvGraphicFramePr>
      <xdr:xfrm>
        <a:off x="4280400" y="8953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10</xdr:col>
      <xdr:colOff>4680</xdr:colOff>
      <xdr:row>17</xdr:row>
      <xdr:rowOff>172080</xdr:rowOff>
    </xdr:to>
    <xdr:graphicFrame>
      <xdr:nvGraphicFramePr>
        <xdr:cNvPr id="23" name="Chart 1"/>
        <xdr:cNvGraphicFramePr/>
      </xdr:nvGraphicFramePr>
      <xdr:xfrm>
        <a:off x="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20</xdr:col>
      <xdr:colOff>4320</xdr:colOff>
      <xdr:row>17</xdr:row>
      <xdr:rowOff>172080</xdr:rowOff>
    </xdr:to>
    <xdr:graphicFrame>
      <xdr:nvGraphicFramePr>
        <xdr:cNvPr id="24" name="Chart 2"/>
        <xdr:cNvGraphicFramePr/>
      </xdr:nvGraphicFramePr>
      <xdr:xfrm>
        <a:off x="611496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8" customFormat="false" ht="15" hidden="false" customHeight="false" outlineLevel="0" collapsed="false">
      <c r="A8" s="2" t="s">
        <v>4</v>
      </c>
      <c r="C8" s="4" t="n">
        <v>0.0815</v>
      </c>
      <c r="D8" s="2" t="s">
        <v>5</v>
      </c>
    </row>
    <row r="9" customFormat="false" ht="15" hidden="false" customHeight="false" outlineLevel="0" collapsed="false">
      <c r="A9" s="2" t="s">
        <v>6</v>
      </c>
      <c r="C9" s="5" t="n">
        <v>0.113</v>
      </c>
      <c r="D9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6" t="s">
        <v>9</v>
      </c>
      <c r="B12" s="6" t="s">
        <v>10</v>
      </c>
      <c r="C12" s="6" t="s">
        <v>11</v>
      </c>
    </row>
    <row r="13" customFormat="false" ht="15" hidden="false" customHeight="false" outlineLevel="0" collapsed="false">
      <c r="A13" s="7" t="s">
        <v>12</v>
      </c>
      <c r="B13" s="8" t="n">
        <f aca="false">COUNTIF(Runs!$B$2:$B$12,"Sun")</f>
        <v>7</v>
      </c>
      <c r="C13" s="8" t="n">
        <f aca="false">COUNTIF(Runs!$B$2:$B$12,"Shade")</f>
        <v>4</v>
      </c>
    </row>
    <row r="14" customFormat="false" ht="15" hidden="false" customHeight="false" outlineLevel="0" collapsed="false">
      <c r="A14" s="7" t="s">
        <v>13</v>
      </c>
      <c r="B14" s="9" t="n">
        <f aca="false">AVERAGEIFS(Runs!$G$2:$G$12,Runs!$B$2:$B$12,"Sun")</f>
        <v>0.242</v>
      </c>
      <c r="C14" s="9" t="n">
        <f aca="false">AVERAGEIFS(Runs!$G$2:$G$12,Runs!$B$2:$B$12,"Shade")</f>
        <v>0.7115</v>
      </c>
    </row>
    <row r="15" customFormat="false" ht="15" hidden="false" customHeight="false" outlineLevel="0" collapsed="false">
      <c r="A15" s="7" t="s">
        <v>14</v>
      </c>
      <c r="B15" s="9" t="n">
        <f aca="false">_xlfn.MAXIFS(Runs!$G$2:$G$12,Runs!$B$2:$B$12,"Sun")</f>
        <v>0.353</v>
      </c>
      <c r="C15" s="9" t="n">
        <f aca="false">_xlfn.MAXIFS(Runs!$G$2:$G$12,Runs!$B$2:$B$12,"Shade")</f>
        <v>0.735</v>
      </c>
    </row>
    <row r="16" customFormat="false" ht="15" hidden="false" customHeight="false" outlineLevel="0" collapsed="false">
      <c r="A16" s="7" t="s">
        <v>15</v>
      </c>
      <c r="B16" s="10" t="n">
        <f aca="false">AVERAGEIFS(Runs!$H$2:$H$12,Runs!$B$2:$B$12,"Sun")</f>
        <v>1.99857142857143</v>
      </c>
      <c r="C16" s="10" t="n">
        <f aca="false">AVERAGEIFS(Runs!$H$2:$H$12,Runs!$B$2:$B$12,"Shade")</f>
        <v>1.2</v>
      </c>
    </row>
    <row r="17" customFormat="false" ht="15" hidden="false" customHeight="false" outlineLevel="0" collapsed="false">
      <c r="A17" s="7" t="s">
        <v>16</v>
      </c>
      <c r="B17" s="10" t="n">
        <f aca="false">SUMIFS(Runs!$J$2:$J$12,Runs!$B$2:$B$12,"Sun")</f>
        <v>2.79358</v>
      </c>
      <c r="C17" s="10" t="n">
        <f aca="false">SUMIFS(Runs!$J$2:$J$12,Runs!$B$2:$B$12,"Shade")</f>
        <v>10.82953</v>
      </c>
    </row>
    <row r="18" customFormat="false" ht="15" hidden="false" customHeight="false" outlineLevel="0" collapsed="false">
      <c r="A18" s="7" t="s">
        <v>17</v>
      </c>
      <c r="B18" s="9" t="n">
        <f aca="false">AVERAGEIFS(Runs!$M$2:$M$12,Runs!$B$2:$B$12,"Sun")</f>
        <v>5.93725988129585</v>
      </c>
      <c r="C18" s="9" t="n">
        <f aca="false">AVERAGEIFS(Runs!$M$2:$M$12,Runs!$B$2:$B$12,"Shade")</f>
        <v>6.49204899373642</v>
      </c>
    </row>
    <row r="19" customFormat="false" ht="15" hidden="false" customHeight="false" outlineLevel="0" collapsed="false">
      <c r="A19" s="7" t="s">
        <v>18</v>
      </c>
      <c r="B19" s="9" t="n">
        <f aca="false">AVERAGEIFS(Runs!$Q$2:$Q$12,Runs!$B$2:$B$12,"Sun")</f>
        <v>4.26251895269542</v>
      </c>
      <c r="C19" s="9" t="n">
        <f aca="false">AVERAGEIFS(Runs!$Q$2:$Q$12,Runs!$B$2:$B$12,"Shade")</f>
        <v>0.292501877289377</v>
      </c>
    </row>
    <row r="20" customFormat="false" ht="15" hidden="false" customHeight="false" outlineLevel="0" collapsed="false">
      <c r="A20" s="7" t="s">
        <v>19</v>
      </c>
      <c r="B20" s="9" t="n">
        <f aca="false">AVERAGEIFS(Runs!$K$2:$K$12,Runs!$B$2:$B$12,"Sun")</f>
        <v>0.666</v>
      </c>
      <c r="C20" s="9" t="n">
        <f aca="false">AVERAGEIFS(Runs!$K$2:$K$12,Runs!$B$2:$B$12,"Shade")</f>
        <v>0.9585</v>
      </c>
    </row>
    <row r="21" customFormat="false" ht="15" hidden="false" customHeight="false" outlineLevel="0" collapsed="false">
      <c r="A21" s="7" t="s">
        <v>20</v>
      </c>
      <c r="B21" s="9" t="n">
        <f aca="false">AVERAGEIFS(Runs!$P$2:$P$12,Runs!$B$2:$B$12,"Sun")</f>
        <v>0.314285714285714</v>
      </c>
      <c r="C21" s="9" t="n">
        <f aca="false">AVERAGEIFS(Runs!$P$2:$P$12,Runs!$B$2:$B$12,"Shade")</f>
        <v>0.30925</v>
      </c>
    </row>
    <row r="22" customFormat="false" ht="15" hidden="false" customHeight="false" outlineLevel="0" collapsed="false">
      <c r="A22" s="7" t="s">
        <v>21</v>
      </c>
      <c r="B22" s="8" t="n">
        <f aca="false">SUMIFS(Runs!$R$2:$R$12,Runs!$B$2:$B$12,"Sun")</f>
        <v>146.162068731805</v>
      </c>
      <c r="C22" s="8" t="n">
        <f aca="false">SUMIFS(Runs!$R$2:$R$12,Runs!$B$2:$B$12,"Shade")</f>
        <v>128.87258148623</v>
      </c>
    </row>
    <row r="23" customFormat="false" ht="15" hidden="false" customHeight="false" outlineLevel="0" collapsed="false">
      <c r="A23" s="7" t="s">
        <v>22</v>
      </c>
      <c r="B23" s="8" t="n">
        <f aca="false">SUMIFS(Runs!$S$2:$S$12,Runs!$B$2:$B$12,"Sun")</f>
        <v>30.7308730399997</v>
      </c>
      <c r="C23" s="8" t="n">
        <f aca="false">SUMIFS(Runs!$S$2:$S$12,Runs!$B$2:$B$12,"Shade")</f>
        <v>123.25540846</v>
      </c>
    </row>
    <row r="24" customFormat="false" ht="15" hidden="false" customHeight="false" outlineLevel="0" collapsed="false">
      <c r="A24" s="7" t="s">
        <v>23</v>
      </c>
      <c r="B24" s="11" t="n">
        <f aca="false">IF(B22&gt;0,1-B23/B22,"")</f>
        <v>0.78974796055748</v>
      </c>
      <c r="C24" s="11" t="n">
        <f aca="false">IF(C22&gt;0,1-C23/C22,"")</f>
        <v>0.0435870296183227</v>
      </c>
    </row>
    <row r="25" customFormat="false" ht="15" hidden="false" customHeight="false" outlineLevel="0" collapsed="false">
      <c r="A25" s="7" t="s">
        <v>24</v>
      </c>
      <c r="B25" s="10" t="str">
        <f aca="false">IFERROR(AVERAGEIFS(Runs!$U$2:$U$12,Runs!$B$2:$B$12,"Sun"),"n/a")</f>
        <v>n/a</v>
      </c>
      <c r="C25" s="10" t="n">
        <f aca="false">IFERROR(AVERAGEIFS(Runs!$U$2:$U$12,Runs!$B$2:$B$12,"Shade"),"n/a")</f>
        <v>11.4899882492204</v>
      </c>
    </row>
    <row r="27" customFormat="false" ht="15" hidden="false" customHeight="false" outlineLevel="0" collapsed="false">
      <c r="A27" s="3" t="s">
        <v>25</v>
      </c>
    </row>
    <row r="28" customFormat="false" ht="15" hidden="false" customHeight="false" outlineLevel="0" collapsed="false">
      <c r="A28" s="2" t="s">
        <v>26</v>
      </c>
    </row>
    <row r="29" customFormat="false" ht="15" hidden="false" customHeight="false" outlineLevel="0" collapsed="false">
      <c r="A29" s="2" t="s">
        <v>27</v>
      </c>
    </row>
    <row r="30" customFormat="false" ht="15" hidden="false" customHeight="false" outlineLevel="0" collapsed="false">
      <c r="A30" s="2" t="s">
        <v>28</v>
      </c>
    </row>
    <row r="31" customFormat="false" ht="15" hidden="false" customHeight="false" outlineLevel="0" collapsed="false">
      <c r="A31" s="2" t="s">
        <v>29</v>
      </c>
    </row>
    <row r="32" customFormat="false" ht="15" hidden="false" customHeight="false" outlineLevel="0" collapsed="false">
      <c r="A32" s="2" t="s">
        <v>30</v>
      </c>
    </row>
    <row r="33" customFormat="false" ht="15" hidden="false" customHeight="false" outlineLevel="0" collapsed="false">
      <c r="A33" s="2" t="s">
        <v>31</v>
      </c>
    </row>
    <row r="34" customFormat="false" ht="15" hidden="false" customHeight="false" outlineLevel="0" collapsed="false">
      <c r="A34" s="2" t="s">
        <v>32</v>
      </c>
    </row>
    <row r="35" customFormat="false" ht="15" hidden="false" customHeight="false" outlineLevel="0" collapsed="false">
      <c r="A35" s="2" t="s">
        <v>33</v>
      </c>
    </row>
    <row r="37" customFormat="false" ht="15" hidden="false" customHeight="false" outlineLevel="0" collapsed="false">
      <c r="A37" s="3" t="s">
        <v>34</v>
      </c>
    </row>
    <row r="38" customFormat="false" ht="15" hidden="false" customHeight="false" outlineLevel="0" collapsed="false">
      <c r="A38" s="6" t="s">
        <v>9</v>
      </c>
      <c r="B38" s="6" t="s">
        <v>35</v>
      </c>
    </row>
    <row r="39" customFormat="false" ht="15" hidden="false" customHeight="false" outlineLevel="0" collapsed="false">
      <c r="A39" s="7" t="s">
        <v>36</v>
      </c>
      <c r="B39" s="8" t="n">
        <f aca="false">COUNTA(Charging!$A$2:$A$3)</f>
        <v>2</v>
      </c>
    </row>
    <row r="40" customFormat="false" ht="15" hidden="false" customHeight="false" outlineLevel="0" collapsed="false">
      <c r="A40" s="7" t="s">
        <v>37</v>
      </c>
      <c r="B40" s="10" t="n">
        <f aca="false">SUM(Charging!$D$2:$D$3)</f>
        <v>21.99</v>
      </c>
    </row>
    <row r="41" customFormat="false" ht="15" hidden="false" customHeight="false" outlineLevel="0" collapsed="false">
      <c r="A41" s="7" t="s">
        <v>38</v>
      </c>
      <c r="B41" s="9" t="n">
        <f aca="false">AVERAGE(Charging!$E$2:$E$3)</f>
        <v>5.25082633683158</v>
      </c>
    </row>
    <row r="42" customFormat="false" ht="15" hidden="false" customHeight="false" outlineLevel="0" collapsed="false">
      <c r="A42" s="7" t="s">
        <v>39</v>
      </c>
      <c r="B42" s="9" t="n">
        <f aca="false">AVERAGE(Charging!$H$2:$H$3)</f>
        <v>3.76210427936032</v>
      </c>
    </row>
    <row r="43" customFormat="false" ht="15" hidden="false" customHeight="false" outlineLevel="0" collapsed="false">
      <c r="A43" s="7" t="s">
        <v>40</v>
      </c>
      <c r="B43" s="9" t="n">
        <f aca="false">AVERAGE(Charging!$I$2:$I$3)</f>
        <v>1.35948975115717</v>
      </c>
    </row>
    <row r="44" customFormat="false" ht="15" hidden="false" customHeight="false" outlineLevel="0" collapsed="false">
      <c r="A44" s="7" t="s">
        <v>41</v>
      </c>
      <c r="B44" s="11" t="n">
        <f aca="false">AVERAGE(Charging!$K$2:$K$3)</f>
        <v>0.714409598141196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21" min="3" style="0" width="12"/>
    <col collapsed="false" customWidth="true" hidden="false" outlineLevel="0" max="22" min="22" style="0" width="60"/>
  </cols>
  <sheetData>
    <row r="1" customFormat="false" ht="45" hidden="false" customHeight="true" outlineLevel="0" collapsed="false">
      <c r="A1" s="12" t="s">
        <v>42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48</v>
      </c>
      <c r="H1" s="12" t="s">
        <v>49</v>
      </c>
      <c r="I1" s="12" t="s">
        <v>50</v>
      </c>
      <c r="J1" s="12" t="s">
        <v>51</v>
      </c>
      <c r="K1" s="12" t="s">
        <v>52</v>
      </c>
      <c r="L1" s="12" t="s">
        <v>53</v>
      </c>
      <c r="M1" s="12" t="s">
        <v>54</v>
      </c>
      <c r="N1" s="12" t="s">
        <v>55</v>
      </c>
      <c r="O1" s="12" t="s">
        <v>56</v>
      </c>
      <c r="P1" s="12" t="s">
        <v>57</v>
      </c>
      <c r="Q1" s="12" t="s">
        <v>58</v>
      </c>
      <c r="R1" s="12" t="s">
        <v>59</v>
      </c>
      <c r="S1" s="12" t="s">
        <v>60</v>
      </c>
      <c r="T1" s="12" t="s">
        <v>61</v>
      </c>
      <c r="U1" s="12" t="s">
        <v>62</v>
      </c>
      <c r="V1" s="12" t="s">
        <v>63</v>
      </c>
    </row>
    <row r="2" customFormat="false" ht="15" hidden="false" customHeight="false" outlineLevel="0" collapsed="false">
      <c r="A2" s="7" t="s">
        <v>64</v>
      </c>
      <c r="B2" s="7" t="s">
        <v>10</v>
      </c>
      <c r="C2" s="13" t="n">
        <v>181.64</v>
      </c>
      <c r="D2" s="13" t="n">
        <v>189.24</v>
      </c>
      <c r="E2" s="13" t="n">
        <v>189.64</v>
      </c>
      <c r="F2" s="10" t="n">
        <f aca="false">D2-C2+0.2</f>
        <v>7.80000000000002</v>
      </c>
      <c r="G2" s="9" t="n">
        <f aca="false">_xlfn.MAXIFS(Data!$E$2:$E$604,Data!$A$2:$A$604,"&gt;="&amp;C2,Data!$A$2:$A$604,"&lt;="&amp;E2)</f>
        <v>0.136</v>
      </c>
      <c r="H2" s="14" t="n">
        <v>1</v>
      </c>
      <c r="I2" s="9" t="n">
        <f aca="false">AVERAGEIFS(Data!$E$2:$E$604,Data!$A$2:$A$604,"&gt;="&amp;C2,Data!$A$2:$A$604,"&lt;="&amp;D2)</f>
        <v>0.0163076923076923</v>
      </c>
      <c r="J2" s="9" t="n">
        <f aca="false">SUMPRODUCT((Data!$A$2:$A$604&gt;=C2)*(Data!$A$2:$A$604&lt;=E2)*Data!$E$2:$E$604*Data!$S$2:$S$604)</f>
        <v>0.138</v>
      </c>
      <c r="K2" s="9" t="n">
        <f aca="false">_xlfn.MAXIFS(Data!$C$2:$C$604,Data!$A$2:$A$604,"&gt;="&amp;C2,Data!$A$2:$A$604,"&lt;="&amp;D2)</f>
        <v>0.509</v>
      </c>
      <c r="L2" s="9" t="n">
        <f aca="false">AVERAGEIFS(Data!$T$2:$T$604,Data!$A$2:$A$604,"&gt;="&amp;C2,Data!$A$2:$A$604,"&lt;="&amp;D2)</f>
        <v>0.410393205128205</v>
      </c>
      <c r="M2" s="9" t="n">
        <f aca="false">AVERAGEIFS(Data!$U$2:$U$604,Data!$A$2:$A$604,"&gt;="&amp;C2,Data!$A$2:$A$604,"&lt;="&amp;D2)</f>
        <v>4.8604704015</v>
      </c>
      <c r="N2" s="15" t="n">
        <f aca="false">_xlfn.MINIFS(Data!$B$2:$B$604,Data!$A$2:$A$604,"&gt;="&amp;C2,Data!$A$2:$A$604,"&lt;="&amp;D2)</f>
        <v>11.691</v>
      </c>
      <c r="O2" s="15" t="n">
        <f aca="false">INDEX(Data!$B$2:$B$604,MATCH(C2,Data!$A$2:$A$604,0)-1)</f>
        <v>11.984</v>
      </c>
      <c r="P2" s="9" t="n">
        <f aca="false">O2-N2</f>
        <v>0.292999999999999</v>
      </c>
      <c r="Q2" s="9" t="n">
        <f aca="false">AVERAGEIFS(Data!$D$2:$D$604,Data!$A$2:$A$604,"&gt;="&amp;C2,Data!$A$2:$A$604,"&lt;="&amp;D2)</f>
        <v>5.28435897435897</v>
      </c>
      <c r="R2" s="10" t="n">
        <f aca="false">SUMPRODUCT((Data!$A$2:$A$604&gt;=C2)*(Data!$A$2:$A$604&lt;=D2)*Data!$U$2:$U$604*Data!$S$2:$S$604)</f>
        <v>37.9243669634201</v>
      </c>
      <c r="S2" s="10" t="n">
        <f aca="false">SUMPRODUCT((Data!$A$2:$A$604&gt;=C2)*(Data!$A$2:$A$604&lt;=D2)*Data!$V$2:$V$604*Data!$S$2:$S$604)</f>
        <v>-1.94214798999999</v>
      </c>
      <c r="T2" s="11" t="n">
        <f aca="false">IF(R2&gt;0,1-S2/R2,"")</f>
        <v>1.05121108526013</v>
      </c>
      <c r="U2" s="10" t="str">
        <f aca="false">IF(J2&gt;=1,R2/J2,"")</f>
        <v/>
      </c>
      <c r="V2" s="7" t="s">
        <v>65</v>
      </c>
    </row>
    <row r="3" customFormat="false" ht="15" hidden="false" customHeight="false" outlineLevel="0" collapsed="false">
      <c r="A3" s="7" t="s">
        <v>66</v>
      </c>
      <c r="B3" s="7" t="s">
        <v>10</v>
      </c>
      <c r="C3" s="13" t="n">
        <v>190.24</v>
      </c>
      <c r="D3" s="13" t="n">
        <v>192.64</v>
      </c>
      <c r="E3" s="13" t="n">
        <v>193.44</v>
      </c>
      <c r="F3" s="10" t="n">
        <f aca="false">D3-C3+0.2</f>
        <v>2.59999999999998</v>
      </c>
      <c r="G3" s="9" t="n">
        <f aca="false">_xlfn.MAXIFS(Data!$E$2:$E$604,Data!$A$2:$A$604,"&gt;="&amp;C3,Data!$A$2:$A$604,"&lt;="&amp;E3)</f>
        <v>0.245</v>
      </c>
      <c r="H3" s="14" t="n">
        <v>1</v>
      </c>
      <c r="I3" s="9" t="n">
        <f aca="false">AVERAGEIFS(Data!$E$2:$E$604,Data!$A$2:$A$604,"&gt;="&amp;C3,Data!$A$2:$A$604,"&lt;="&amp;D3)</f>
        <v>0.149307692307692</v>
      </c>
      <c r="J3" s="9" t="n">
        <f aca="false">SUMPRODUCT((Data!$A$2:$A$604&gt;=C3)*(Data!$A$2:$A$604&lt;=E3)*Data!$E$2:$E$604*Data!$S$2:$S$604)</f>
        <v>0.480400000000003</v>
      </c>
      <c r="K3" s="9" t="n">
        <f aca="false">_xlfn.MAXIFS(Data!$C$2:$C$604,Data!$A$2:$A$604,"&gt;="&amp;C3,Data!$A$2:$A$604,"&lt;="&amp;D3)</f>
        <v>0.643</v>
      </c>
      <c r="L3" s="9" t="n">
        <f aca="false">AVERAGEIFS(Data!$T$2:$T$604,Data!$A$2:$A$604,"&gt;="&amp;C3,Data!$A$2:$A$604,"&lt;="&amp;D3)</f>
        <v>0.570883538461539</v>
      </c>
      <c r="M3" s="9" t="n">
        <f aca="false">AVERAGEIFS(Data!$U$2:$U$604,Data!$A$2:$A$604,"&gt;="&amp;C3,Data!$A$2:$A$604,"&lt;="&amp;D3)</f>
        <v>6.71507657603846</v>
      </c>
      <c r="N3" s="15" t="n">
        <f aca="false">_xlfn.MINIFS(Data!$B$2:$B$604,Data!$A$2:$A$604,"&gt;="&amp;C3,Data!$A$2:$A$604,"&lt;="&amp;D3)</f>
        <v>11.661</v>
      </c>
      <c r="O3" s="15" t="n">
        <f aca="false">INDEX(Data!$B$2:$B$604,MATCH(C3,Data!$A$2:$A$604,0)-1)</f>
        <v>11.952</v>
      </c>
      <c r="P3" s="9" t="n">
        <f aca="false">O3-N3</f>
        <v>0.291</v>
      </c>
      <c r="Q3" s="9" t="n">
        <f aca="false">AVERAGEIFS(Data!$D$2:$D$604,Data!$A$2:$A$604,"&gt;="&amp;C3,Data!$A$2:$A$604,"&lt;="&amp;D3)</f>
        <v>4.35723076923077</v>
      </c>
      <c r="R3" s="10" t="n">
        <f aca="false">SUMPRODUCT((Data!$A$2:$A$604&gt;=C3)*(Data!$A$2:$A$604&lt;=D3)*Data!$U$2:$U$604*Data!$S$2:$S$604)</f>
        <v>17.4591990976999</v>
      </c>
      <c r="S3" s="10" t="n">
        <f aca="false">SUMPRODUCT((Data!$A$2:$A$604&gt;=C3)*(Data!$A$2:$A$604&lt;=D3)*Data!$V$2:$V$604*Data!$S$2:$S$604)</f>
        <v>6.57284019999994</v>
      </c>
      <c r="T3" s="11" t="n">
        <f aca="false">IF(R3&gt;0,1-S3/R3,"")</f>
        <v>0.623531402373099</v>
      </c>
      <c r="U3" s="10" t="str">
        <f aca="false">IF(J3&gt;=1,R3/J3,"")</f>
        <v/>
      </c>
      <c r="V3" s="7"/>
    </row>
    <row r="4" customFormat="false" ht="15" hidden="false" customHeight="false" outlineLevel="0" collapsed="false">
      <c r="A4" s="7" t="s">
        <v>67</v>
      </c>
      <c r="B4" s="7" t="s">
        <v>10</v>
      </c>
      <c r="C4" s="13" t="n">
        <v>193.84</v>
      </c>
      <c r="D4" s="13" t="n">
        <v>201.04</v>
      </c>
      <c r="E4" s="13" t="n">
        <v>201.84</v>
      </c>
      <c r="F4" s="10" t="n">
        <f aca="false">D4-C4+0.2</f>
        <v>7.39999999999999</v>
      </c>
      <c r="G4" s="9" t="n">
        <f aca="false">_xlfn.MAXIFS(Data!$E$2:$E$604,Data!$A$2:$A$604,"&gt;="&amp;C4,Data!$A$2:$A$604,"&lt;="&amp;E4)</f>
        <v>0.299</v>
      </c>
      <c r="H4" s="14" t="n">
        <v>7</v>
      </c>
      <c r="I4" s="9" t="n">
        <f aca="false">AVERAGEIFS(Data!$E$2:$E$604,Data!$A$2:$A$604,"&gt;="&amp;C4,Data!$A$2:$A$604,"&lt;="&amp;D4)</f>
        <v>0.0934324324324324</v>
      </c>
      <c r="J4" s="9" t="n">
        <f aca="false">SUMPRODUCT((Data!$A$2:$A$604&gt;=C4)*(Data!$A$2:$A$604&lt;=E4)*Data!$E$2:$E$604*Data!$S$2:$S$604)</f>
        <v>0.805399999999998</v>
      </c>
      <c r="K4" s="9" t="n">
        <f aca="false">_xlfn.MAXIFS(Data!$C$2:$C$604,Data!$A$2:$A$604,"&gt;="&amp;C4,Data!$A$2:$A$604,"&lt;="&amp;D4)</f>
        <v>0.482</v>
      </c>
      <c r="L4" s="9" t="n">
        <f aca="false">AVERAGEIFS(Data!$T$2:$T$604,Data!$A$2:$A$604,"&gt;="&amp;C4,Data!$A$2:$A$604,"&lt;="&amp;D4)</f>
        <v>0.452829391891892</v>
      </c>
      <c r="M4" s="9" t="n">
        <f aca="false">AVERAGEIFS(Data!$U$2:$U$604,Data!$A$2:$A$604,"&gt;="&amp;C4,Data!$A$2:$A$604,"&lt;="&amp;D4)</f>
        <v>5.33902890043243</v>
      </c>
      <c r="N4" s="15" t="n">
        <f aca="false">_xlfn.MINIFS(Data!$B$2:$B$604,Data!$A$2:$A$604,"&gt;="&amp;C4,Data!$A$2:$A$604,"&lt;="&amp;D4)</f>
        <v>11.663</v>
      </c>
      <c r="O4" s="15" t="n">
        <f aca="false">INDEX(Data!$B$2:$B$604,MATCH(C4,Data!$A$2:$A$604,0)-1)</f>
        <v>11.918</v>
      </c>
      <c r="P4" s="9" t="n">
        <f aca="false">O4-N4</f>
        <v>0.254999999999999</v>
      </c>
      <c r="Q4" s="9" t="n">
        <f aca="false">AVERAGEIFS(Data!$D$2:$D$604,Data!$A$2:$A$604,"&gt;="&amp;C4,Data!$A$2:$A$604,"&lt;="&amp;D4)</f>
        <v>4.13851351351351</v>
      </c>
      <c r="R4" s="10" t="n">
        <f aca="false">SUMPRODUCT((Data!$A$2:$A$604&gt;=C4)*(Data!$A$2:$A$604&lt;=D4)*Data!$U$2:$U$604*Data!$S$2:$S$604)</f>
        <v>39.5088138632</v>
      </c>
      <c r="S4" s="10" t="n">
        <f aca="false">SUMPRODUCT((Data!$A$2:$A$604&gt;=C4)*(Data!$A$2:$A$604&lt;=D4)*Data!$V$2:$V$604*Data!$S$2:$S$604)</f>
        <v>10.0184388</v>
      </c>
      <c r="T4" s="11" t="n">
        <f aca="false">IF(R4&gt;0,1-S4/R4,"")</f>
        <v>0.746425219580395</v>
      </c>
      <c r="U4" s="10" t="str">
        <f aca="false">IF(J4&gt;=1,R4/J4,"")</f>
        <v/>
      </c>
      <c r="V4" s="7"/>
    </row>
    <row r="5" customFormat="false" ht="15" hidden="false" customHeight="false" outlineLevel="0" collapsed="false">
      <c r="A5" s="7" t="s">
        <v>68</v>
      </c>
      <c r="B5" s="7" t="s">
        <v>10</v>
      </c>
      <c r="C5" s="13" t="n">
        <v>219.24</v>
      </c>
      <c r="D5" s="13" t="n">
        <v>222.45</v>
      </c>
      <c r="E5" s="13" t="n">
        <v>222.85</v>
      </c>
      <c r="F5" s="10" t="n">
        <f aca="false">D5-C5+0.2</f>
        <v>3.40999999999998</v>
      </c>
      <c r="G5" s="9" t="n">
        <f aca="false">_xlfn.MAXIFS(Data!$E$2:$E$604,Data!$A$2:$A$604,"&gt;="&amp;C5,Data!$A$2:$A$604,"&lt;="&amp;E5)</f>
        <v>0.118</v>
      </c>
      <c r="H5" s="14" t="n">
        <v>2.6</v>
      </c>
      <c r="I5" s="9" t="n">
        <f aca="false">AVERAGEIFS(Data!$E$2:$E$604,Data!$A$2:$A$604,"&gt;="&amp;C5,Data!$A$2:$A$604,"&lt;="&amp;D5)</f>
        <v>0.0201764705882353</v>
      </c>
      <c r="J5" s="9" t="n">
        <f aca="false">SUMPRODUCT((Data!$A$2:$A$604&gt;=C5)*(Data!$A$2:$A$604&lt;=E5)*Data!$E$2:$E$604*Data!$S$2:$S$604)</f>
        <v>0.0777799999999994</v>
      </c>
      <c r="K5" s="9" t="n">
        <f aca="false">_xlfn.MAXIFS(Data!$C$2:$C$604,Data!$A$2:$A$604,"&gt;="&amp;C5,Data!$A$2:$A$604,"&lt;="&amp;D5)</f>
        <v>0.49</v>
      </c>
      <c r="L5" s="9" t="n">
        <f aca="false">AVERAGEIFS(Data!$T$2:$T$604,Data!$A$2:$A$604,"&gt;="&amp;C5,Data!$A$2:$A$604,"&lt;="&amp;D5)</f>
        <v>0.433834823529412</v>
      </c>
      <c r="M5" s="9" t="n">
        <f aca="false">AVERAGEIFS(Data!$U$2:$U$604,Data!$A$2:$A$604,"&gt;="&amp;C5,Data!$A$2:$A$604,"&lt;="&amp;D5)</f>
        <v>5.13157970117647</v>
      </c>
      <c r="N5" s="15" t="n">
        <f aca="false">_xlfn.MINIFS(Data!$B$2:$B$604,Data!$A$2:$A$604,"&gt;="&amp;C5,Data!$A$2:$A$604,"&lt;="&amp;D5)</f>
        <v>11.714</v>
      </c>
      <c r="O5" s="15" t="n">
        <f aca="false">INDEX(Data!$B$2:$B$604,MATCH(C5,Data!$A$2:$A$604,0)-1)</f>
        <v>11.971</v>
      </c>
      <c r="P5" s="9" t="n">
        <f aca="false">O5-N5</f>
        <v>0.257</v>
      </c>
      <c r="Q5" s="9" t="n">
        <f aca="false">AVERAGEIFS(Data!$D$2:$D$604,Data!$A$2:$A$604,"&gt;="&amp;C5,Data!$A$2:$A$604,"&lt;="&amp;D5)</f>
        <v>5.12752941176471</v>
      </c>
      <c r="R5" s="10" t="n">
        <f aca="false">SUMPRODUCT((Data!$A$2:$A$604&gt;=C5)*(Data!$A$2:$A$604&lt;=D5)*Data!$U$2:$U$604*Data!$S$2:$S$604)</f>
        <v>17.4741007554151</v>
      </c>
      <c r="S5" s="10" t="n">
        <f aca="false">SUMPRODUCT((Data!$A$2:$A$604&gt;=C5)*(Data!$A$2:$A$604&lt;=D5)*Data!$V$2:$V$604*Data!$S$2:$S$604)</f>
        <v>0.584711630000107</v>
      </c>
      <c r="T5" s="11" t="n">
        <f aca="false">IF(R5&gt;0,1-S5/R5,"")</f>
        <v>0.966538385111525</v>
      </c>
      <c r="U5" s="10" t="str">
        <f aca="false">IF(J5&gt;=1,R5/J5,"")</f>
        <v/>
      </c>
      <c r="V5" s="7" t="s">
        <v>69</v>
      </c>
    </row>
    <row r="6" customFormat="false" ht="15" hidden="false" customHeight="false" outlineLevel="0" collapsed="false">
      <c r="A6" s="7" t="s">
        <v>70</v>
      </c>
      <c r="B6" s="7" t="s">
        <v>10</v>
      </c>
      <c r="C6" s="13" t="n">
        <v>223.27</v>
      </c>
      <c r="D6" s="13" t="n">
        <v>224.86</v>
      </c>
      <c r="E6" s="13" t="n">
        <v>225.66</v>
      </c>
      <c r="F6" s="10" t="n">
        <f aca="false">D6-C6+0.2</f>
        <v>1.79</v>
      </c>
      <c r="G6" s="9" t="n">
        <f aca="false">_xlfn.MAXIFS(Data!$E$2:$E$604,Data!$A$2:$A$604,"&gt;="&amp;C6,Data!$A$2:$A$604,"&lt;="&amp;E6)</f>
        <v>0.217</v>
      </c>
      <c r="H6" s="14" t="n">
        <v>0.59</v>
      </c>
      <c r="I6" s="9" t="n">
        <f aca="false">AVERAGEIFS(Data!$E$2:$E$604,Data!$A$2:$A$604,"&gt;="&amp;C6,Data!$A$2:$A$604,"&lt;="&amp;D6)</f>
        <v>0.144666666666667</v>
      </c>
      <c r="J6" s="9" t="n">
        <f aca="false">SUMPRODUCT((Data!$A$2:$A$604&gt;=C6)*(Data!$A$2:$A$604&lt;=E6)*Data!$E$2:$E$604*Data!$S$2:$S$604)</f>
        <v>0.3336</v>
      </c>
      <c r="K6" s="9" t="n">
        <f aca="false">_xlfn.MAXIFS(Data!$C$2:$C$604,Data!$A$2:$A$604,"&gt;="&amp;C6,Data!$A$2:$A$604,"&lt;="&amp;D6)</f>
        <v>0.877</v>
      </c>
      <c r="L6" s="9" t="n">
        <f aca="false">AVERAGEIFS(Data!$T$2:$T$604,Data!$A$2:$A$604,"&gt;="&amp;C6,Data!$A$2:$A$604,"&lt;="&amp;D6)</f>
        <v>0.546564888888889</v>
      </c>
      <c r="M6" s="9" t="n">
        <f aca="false">AVERAGEIFS(Data!$U$2:$U$604,Data!$A$2:$A$604,"&gt;="&amp;C6,Data!$A$2:$A$604,"&lt;="&amp;D6)</f>
        <v>6.41760410488889</v>
      </c>
      <c r="N6" s="15" t="n">
        <f aca="false">_xlfn.MINIFS(Data!$B$2:$B$604,Data!$A$2:$A$604,"&gt;="&amp;C6,Data!$A$2:$A$604,"&lt;="&amp;D6)</f>
        <v>11.55</v>
      </c>
      <c r="O6" s="15" t="n">
        <f aca="false">INDEX(Data!$B$2:$B$604,MATCH(C6,Data!$A$2:$A$604,0)-1)</f>
        <v>11.952</v>
      </c>
      <c r="P6" s="9" t="n">
        <f aca="false">O6-N6</f>
        <v>0.401999999999999</v>
      </c>
      <c r="Q6" s="9" t="n">
        <f aca="false">AVERAGEIFS(Data!$D$2:$D$604,Data!$A$2:$A$604,"&gt;="&amp;C6,Data!$A$2:$A$604,"&lt;="&amp;D6)</f>
        <v>4.45955555555556</v>
      </c>
      <c r="R6" s="10" t="n">
        <f aca="false">SUMPRODUCT((Data!$A$2:$A$604&gt;=C6)*(Data!$A$2:$A$604&lt;=D6)*Data!$U$2:$U$604*Data!$S$2:$S$604)</f>
        <v>11.5262964932699</v>
      </c>
      <c r="S6" s="10" t="n">
        <f aca="false">SUMPRODUCT((Data!$A$2:$A$604&gt;=C6)*(Data!$A$2:$A$604&lt;=D6)*Data!$V$2:$V$604*Data!$S$2:$S$604)</f>
        <v>3.85691139999997</v>
      </c>
      <c r="T6" s="11" t="n">
        <f aca="false">IF(R6&gt;0,1-S6/R6,"")</f>
        <v>0.665381555797044</v>
      </c>
      <c r="U6" s="10" t="str">
        <f aca="false">IF(J6&gt;=1,R6/J6,"")</f>
        <v/>
      </c>
      <c r="V6" s="7"/>
    </row>
    <row r="7" customFormat="false" ht="15" hidden="false" customHeight="false" outlineLevel="0" collapsed="false">
      <c r="A7" s="7" t="s">
        <v>71</v>
      </c>
      <c r="B7" s="7" t="s">
        <v>10</v>
      </c>
      <c r="C7" s="13" t="n">
        <v>225.86</v>
      </c>
      <c r="D7" s="13" t="n">
        <v>227.46</v>
      </c>
      <c r="E7" s="13" t="n">
        <v>228.26</v>
      </c>
      <c r="F7" s="10" t="n">
        <f aca="false">D7-C7+0.2</f>
        <v>1.79999999999999</v>
      </c>
      <c r="G7" s="9" t="n">
        <f aca="false">_xlfn.MAXIFS(Data!$E$2:$E$604,Data!$A$2:$A$604,"&gt;="&amp;C7,Data!$A$2:$A$604,"&lt;="&amp;E7)</f>
        <v>0.326</v>
      </c>
      <c r="H7" s="14" t="n">
        <v>1</v>
      </c>
      <c r="I7" s="9" t="n">
        <f aca="false">AVERAGEIFS(Data!$E$2:$E$604,Data!$A$2:$A$604,"&gt;="&amp;C7,Data!$A$2:$A$604,"&lt;="&amp;D7)</f>
        <v>0.220222222222222</v>
      </c>
      <c r="J7" s="9" t="n">
        <f aca="false">SUMPRODUCT((Data!$A$2:$A$604&gt;=C7)*(Data!$A$2:$A$604&lt;=E7)*Data!$E$2:$E$604*Data!$S$2:$S$604)</f>
        <v>0.464200000000003</v>
      </c>
      <c r="K7" s="9" t="n">
        <f aca="false">_xlfn.MAXIFS(Data!$C$2:$C$604,Data!$A$2:$A$604,"&gt;="&amp;C7,Data!$A$2:$A$604,"&lt;="&amp;D7)</f>
        <v>0.985</v>
      </c>
      <c r="L7" s="9" t="n">
        <f aca="false">AVERAGEIFS(Data!$T$2:$T$604,Data!$A$2:$A$604,"&gt;="&amp;C7,Data!$A$2:$A$604,"&lt;="&amp;D7)</f>
        <v>0.561260777777778</v>
      </c>
      <c r="M7" s="9" t="n">
        <f aca="false">AVERAGEIFS(Data!$U$2:$U$604,Data!$A$2:$A$604,"&gt;="&amp;C7,Data!$A$2:$A$604,"&lt;="&amp;D7)</f>
        <v>6.56998191372222</v>
      </c>
      <c r="N7" s="15" t="n">
        <f aca="false">_xlfn.MINIFS(Data!$B$2:$B$604,Data!$A$2:$A$604,"&gt;="&amp;C7,Data!$A$2:$A$604,"&lt;="&amp;D7)</f>
        <v>11.526</v>
      </c>
      <c r="O7" s="15" t="n">
        <f aca="false">INDEX(Data!$B$2:$B$604,MATCH(C7,Data!$A$2:$A$604,0)-1)</f>
        <v>11.933</v>
      </c>
      <c r="P7" s="9" t="n">
        <f aca="false">O7-N7</f>
        <v>0.407</v>
      </c>
      <c r="Q7" s="9" t="n">
        <f aca="false">AVERAGEIFS(Data!$D$2:$D$604,Data!$A$2:$A$604,"&gt;="&amp;C7,Data!$A$2:$A$604,"&lt;="&amp;D7)</f>
        <v>3.72644444444444</v>
      </c>
      <c r="R7" s="10" t="n">
        <f aca="false">SUMPRODUCT((Data!$A$2:$A$604&gt;=C7)*(Data!$A$2:$A$604&lt;=D7)*Data!$U$2:$U$604*Data!$S$2:$S$604)</f>
        <v>11.8259674446998</v>
      </c>
      <c r="S7" s="10" t="n">
        <f aca="false">SUMPRODUCT((Data!$A$2:$A$604&gt;=C7)*(Data!$A$2:$A$604&lt;=D7)*Data!$V$2:$V$604*Data!$S$2:$S$604)</f>
        <v>5.39743539999982</v>
      </c>
      <c r="T7" s="11" t="n">
        <f aca="false">IF(R7&gt;0,1-S7/R7,"")</f>
        <v>0.543594600167881</v>
      </c>
      <c r="U7" s="10" t="str">
        <f aca="false">IF(J7&gt;=1,R7/J7,"")</f>
        <v/>
      </c>
      <c r="V7" s="7"/>
    </row>
    <row r="8" customFormat="false" ht="15" hidden="false" customHeight="false" outlineLevel="0" collapsed="false">
      <c r="A8" s="7" t="s">
        <v>72</v>
      </c>
      <c r="B8" s="7" t="s">
        <v>10</v>
      </c>
      <c r="C8" s="13" t="n">
        <v>228.86</v>
      </c>
      <c r="D8" s="13" t="n">
        <v>230.26</v>
      </c>
      <c r="E8" s="13" t="n">
        <v>231.26</v>
      </c>
      <c r="F8" s="10" t="n">
        <f aca="false">D8-C8+0.2</f>
        <v>1.59999999999998</v>
      </c>
      <c r="G8" s="9" t="n">
        <f aca="false">_xlfn.MAXIFS(Data!$E$2:$E$604,Data!$A$2:$A$604,"&gt;="&amp;C8,Data!$A$2:$A$604,"&lt;="&amp;E8)</f>
        <v>0.353</v>
      </c>
      <c r="H8" s="14" t="n">
        <v>0.8</v>
      </c>
      <c r="I8" s="9" t="n">
        <f aca="false">AVERAGEIFS(Data!$E$2:$E$604,Data!$A$2:$A$604,"&gt;="&amp;C8,Data!$A$2:$A$604,"&lt;="&amp;D8)</f>
        <v>0.229125</v>
      </c>
      <c r="J8" s="9" t="n">
        <f aca="false">SUMPRODUCT((Data!$A$2:$A$604&gt;=C8)*(Data!$A$2:$A$604&lt;=E8)*Data!$E$2:$E$604*Data!$S$2:$S$604)</f>
        <v>0.494200000000001</v>
      </c>
      <c r="K8" s="9" t="n">
        <f aca="false">_xlfn.MAXIFS(Data!$C$2:$C$604,Data!$A$2:$A$604,"&gt;="&amp;C8,Data!$A$2:$A$604,"&lt;="&amp;D8)</f>
        <v>0.676</v>
      </c>
      <c r="L8" s="9" t="n">
        <f aca="false">AVERAGEIFS(Data!$T$2:$T$604,Data!$A$2:$A$604,"&gt;="&amp;C8,Data!$A$2:$A$604,"&lt;="&amp;D8)</f>
        <v>0.556636</v>
      </c>
      <c r="M8" s="9" t="n">
        <f aca="false">AVERAGEIFS(Data!$U$2:$U$604,Data!$A$2:$A$604,"&gt;="&amp;C8,Data!$A$2:$A$604,"&lt;="&amp;D8)</f>
        <v>6.5270775713125</v>
      </c>
      <c r="N8" s="15" t="n">
        <f aca="false">_xlfn.MINIFS(Data!$B$2:$B$604,Data!$A$2:$A$604,"&gt;="&amp;C8,Data!$A$2:$A$604,"&lt;="&amp;D8)</f>
        <v>11.616</v>
      </c>
      <c r="O8" s="15" t="n">
        <f aca="false">INDEX(Data!$B$2:$B$604,MATCH(C8,Data!$A$2:$A$604,0)-1)</f>
        <v>11.911</v>
      </c>
      <c r="P8" s="9" t="n">
        <f aca="false">O8-N8</f>
        <v>0.295</v>
      </c>
      <c r="Q8" s="9" t="n">
        <f aca="false">AVERAGEIFS(Data!$D$2:$D$604,Data!$A$2:$A$604,"&gt;="&amp;C8,Data!$A$2:$A$604,"&lt;="&amp;D8)</f>
        <v>2.744</v>
      </c>
      <c r="R8" s="10" t="n">
        <f aca="false">SUMPRODUCT((Data!$A$2:$A$604&gt;=C8)*(Data!$A$2:$A$604&lt;=D8)*Data!$U$2:$U$604*Data!$S$2:$S$604)</f>
        <v>10.4433241140999</v>
      </c>
      <c r="S8" s="10" t="n">
        <f aca="false">SUMPRODUCT((Data!$A$2:$A$604&gt;=C8)*(Data!$A$2:$A$604&lt;=D8)*Data!$V$2:$V$604*Data!$S$2:$S$604)</f>
        <v>6.24268359999988</v>
      </c>
      <c r="T8" s="11" t="n">
        <f aca="false">IF(R8&gt;0,1-S8/R8,"")</f>
        <v>0.402232131092107</v>
      </c>
      <c r="U8" s="10" t="str">
        <f aca="false">IF(J8&gt;=1,R8/J8,"")</f>
        <v/>
      </c>
      <c r="V8" s="7" t="s">
        <v>73</v>
      </c>
    </row>
    <row r="9" customFormat="false" ht="15" hidden="false" customHeight="false" outlineLevel="0" collapsed="false">
      <c r="A9" s="7" t="s">
        <v>74</v>
      </c>
      <c r="B9" s="7" t="s">
        <v>11</v>
      </c>
      <c r="C9" s="13" t="n">
        <v>263.06</v>
      </c>
      <c r="D9" s="13" t="n">
        <v>274.88</v>
      </c>
      <c r="E9" s="13" t="n">
        <v>275.68</v>
      </c>
      <c r="F9" s="10" t="n">
        <f aca="false">D9-C9+0.2</f>
        <v>12.02</v>
      </c>
      <c r="G9" s="9" t="n">
        <f aca="false">_xlfn.MAXIFS(Data!$E$2:$E$604,Data!$A$2:$A$604,"&gt;="&amp;C9,Data!$A$2:$A$604,"&lt;="&amp;E9)</f>
        <v>0.721</v>
      </c>
      <c r="H9" s="14" t="n">
        <v>1.62</v>
      </c>
      <c r="I9" s="9" t="n">
        <f aca="false">AVERAGEIFS(Data!$E$2:$E$604,Data!$A$2:$A$604,"&gt;="&amp;C9,Data!$A$2:$A$604,"&lt;="&amp;D9)</f>
        <v>0.469633333333333</v>
      </c>
      <c r="J9" s="9" t="n">
        <f aca="false">SUMPRODUCT((Data!$A$2:$A$604&gt;=C9)*(Data!$A$2:$A$604&lt;=E9)*Data!$E$2:$E$604*Data!$S$2:$S$604)</f>
        <v>5.78855</v>
      </c>
      <c r="K9" s="9" t="n">
        <f aca="false">_xlfn.MAXIFS(Data!$C$2:$C$604,Data!$A$2:$A$604,"&gt;="&amp;C9,Data!$A$2:$A$604,"&lt;="&amp;D9)</f>
        <v>0.85</v>
      </c>
      <c r="L9" s="9" t="n">
        <f aca="false">AVERAGEIFS(Data!$T$2:$T$604,Data!$A$2:$A$604,"&gt;="&amp;C9,Data!$A$2:$A$604,"&lt;="&amp;D9)</f>
        <v>0.521137341666667</v>
      </c>
      <c r="M9" s="9" t="n">
        <f aca="false">AVERAGEIFS(Data!$U$2:$U$604,Data!$A$2:$A$604,"&gt;="&amp;C9,Data!$A$2:$A$604,"&lt;="&amp;D9)</f>
        <v>6.07881421209167</v>
      </c>
      <c r="N9" s="15" t="n">
        <f aca="false">_xlfn.MINIFS(Data!$B$2:$B$604,Data!$A$2:$A$604,"&gt;="&amp;C9,Data!$A$2:$A$604,"&lt;="&amp;D9)</f>
        <v>11.526</v>
      </c>
      <c r="O9" s="15" t="n">
        <f aca="false">INDEX(Data!$B$2:$B$604,MATCH(C9,Data!$A$2:$A$604,0)-1)</f>
        <v>11.81</v>
      </c>
      <c r="P9" s="9" t="n">
        <f aca="false">O9-N9</f>
        <v>0.284000000000001</v>
      </c>
      <c r="Q9" s="9" t="n">
        <f aca="false">AVERAGEIFS(Data!$D$2:$D$604,Data!$A$2:$A$604,"&gt;="&amp;C9,Data!$A$2:$A$604,"&lt;="&amp;D9)</f>
        <v>0.269783333333333</v>
      </c>
      <c r="R9" s="10" t="n">
        <f aca="false">SUMPRODUCT((Data!$A$2:$A$604&gt;=C9)*(Data!$A$2:$A$604&lt;=D9)*Data!$U$2:$U$604*Data!$S$2:$S$604)</f>
        <v>73.0469385788549</v>
      </c>
      <c r="S9" s="10" t="n">
        <f aca="false">SUMPRODUCT((Data!$A$2:$A$604&gt;=C9)*(Data!$A$2:$A$604&lt;=D9)*Data!$V$2:$V$604*Data!$S$2:$S$604)</f>
        <v>69.9517437899999</v>
      </c>
      <c r="T9" s="11" t="n">
        <f aca="false">IF(R9&gt;0,1-S9/R9,"")</f>
        <v>0.0423726832235913</v>
      </c>
      <c r="U9" s="10" t="n">
        <f aca="false">IF(J9&gt;=1,R9/J9,"")</f>
        <v>12.619211819688</v>
      </c>
      <c r="V9" s="7" t="s">
        <v>75</v>
      </c>
    </row>
    <row r="10" customFormat="false" ht="15" hidden="false" customHeight="false" outlineLevel="0" collapsed="false">
      <c r="A10" s="7" t="s">
        <v>76</v>
      </c>
      <c r="B10" s="7" t="s">
        <v>11</v>
      </c>
      <c r="C10" s="13" t="n">
        <v>275.88</v>
      </c>
      <c r="D10" s="13" t="n">
        <v>278.68</v>
      </c>
      <c r="E10" s="13" t="n">
        <v>279.68</v>
      </c>
      <c r="F10" s="10" t="n">
        <f aca="false">D10-C10+0.2</f>
        <v>3.00000000000001</v>
      </c>
      <c r="G10" s="9" t="n">
        <f aca="false">_xlfn.MAXIFS(Data!$E$2:$E$604,Data!$A$2:$A$604,"&gt;="&amp;C10,Data!$A$2:$A$604,"&lt;="&amp;E10)</f>
        <v>0.735</v>
      </c>
      <c r="H10" s="14" t="n">
        <v>1.4</v>
      </c>
      <c r="I10" s="9" t="n">
        <f aca="false">AVERAGEIFS(Data!$E$2:$E$604,Data!$A$2:$A$604,"&gt;="&amp;C10,Data!$A$2:$A$604,"&lt;="&amp;D10)</f>
        <v>0.458733333333333</v>
      </c>
      <c r="J10" s="9" t="n">
        <f aca="false">SUMPRODUCT((Data!$A$2:$A$604&gt;=C10)*(Data!$A$2:$A$604&lt;=E10)*Data!$E$2:$E$604*Data!$S$2:$S$604)</f>
        <v>1.5638</v>
      </c>
      <c r="K10" s="9" t="n">
        <f aca="false">_xlfn.MAXIFS(Data!$C$2:$C$604,Data!$A$2:$A$604,"&gt;="&amp;C10,Data!$A$2:$A$604,"&lt;="&amp;D10)</f>
        <v>0.931</v>
      </c>
      <c r="L10" s="9" t="n">
        <f aca="false">AVERAGEIFS(Data!$T$2:$T$604,Data!$A$2:$A$604,"&gt;="&amp;C10,Data!$A$2:$A$604,"&lt;="&amp;D10)</f>
        <v>0.554467933333333</v>
      </c>
      <c r="M10" s="9" t="n">
        <f aca="false">AVERAGEIFS(Data!$U$2:$U$604,Data!$A$2:$A$604,"&gt;="&amp;C10,Data!$A$2:$A$604,"&lt;="&amp;D10)</f>
        <v>6.45988524396667</v>
      </c>
      <c r="N10" s="15" t="n">
        <f aca="false">_xlfn.MINIFS(Data!$B$2:$B$604,Data!$A$2:$A$604,"&gt;="&amp;C10,Data!$A$2:$A$604,"&lt;="&amp;D10)</f>
        <v>11.51</v>
      </c>
      <c r="O10" s="15" t="n">
        <f aca="false">INDEX(Data!$B$2:$B$604,MATCH(C10,Data!$A$2:$A$604,0)-1)</f>
        <v>11.814</v>
      </c>
      <c r="P10" s="9" t="n">
        <f aca="false">O10-N10</f>
        <v>0.304</v>
      </c>
      <c r="Q10" s="9" t="n">
        <f aca="false">AVERAGEIFS(Data!$D$2:$D$604,Data!$A$2:$A$604,"&gt;="&amp;C10,Data!$A$2:$A$604,"&lt;="&amp;D10)</f>
        <v>0.7084</v>
      </c>
      <c r="R10" s="10" t="n">
        <f aca="false">SUMPRODUCT((Data!$A$2:$A$604&gt;=C10)*(Data!$A$2:$A$604&lt;=D10)*Data!$U$2:$U$604*Data!$S$2:$S$604)</f>
        <v>19.3796557319</v>
      </c>
      <c r="S10" s="10" t="n">
        <f aca="false">SUMPRODUCT((Data!$A$2:$A$604&gt;=C10)*(Data!$A$2:$A$604&lt;=D10)*Data!$V$2:$V$604*Data!$S$2:$S$604)</f>
        <v>17.3604049999999</v>
      </c>
      <c r="T10" s="11" t="n">
        <f aca="false">IF(R10&gt;0,1-S10/R10,"")</f>
        <v>0.104194355144105</v>
      </c>
      <c r="U10" s="10" t="n">
        <f aca="false">IF(J10&gt;=1,R10/J10,"")</f>
        <v>12.3926689678348</v>
      </c>
      <c r="V10" s="7"/>
    </row>
    <row r="11" customFormat="false" ht="15" hidden="false" customHeight="false" outlineLevel="0" collapsed="false">
      <c r="A11" s="7" t="s">
        <v>77</v>
      </c>
      <c r="B11" s="7" t="s">
        <v>11</v>
      </c>
      <c r="C11" s="13" t="n">
        <v>279.88</v>
      </c>
      <c r="D11" s="13" t="n">
        <v>282.51</v>
      </c>
      <c r="E11" s="13" t="n">
        <v>283.3</v>
      </c>
      <c r="F11" s="10" t="n">
        <f aca="false">D11-C11+0.2</f>
        <v>2.83</v>
      </c>
      <c r="G11" s="9" t="n">
        <f aca="false">_xlfn.MAXIFS(Data!$E$2:$E$604,Data!$A$2:$A$604,"&gt;="&amp;C11,Data!$A$2:$A$604,"&lt;="&amp;E11)</f>
        <v>0.694</v>
      </c>
      <c r="H11" s="14" t="n">
        <v>0.8</v>
      </c>
      <c r="I11" s="9" t="n">
        <f aca="false">AVERAGEIFS(Data!$E$2:$E$604,Data!$A$2:$A$604,"&gt;="&amp;C11,Data!$A$2:$A$604,"&lt;="&amp;D11)</f>
        <v>0.5295</v>
      </c>
      <c r="J11" s="9" t="n">
        <f aca="false">SUMPRODUCT((Data!$A$2:$A$604&gt;=C11)*(Data!$A$2:$A$604&lt;=E11)*Data!$E$2:$E$604*Data!$S$2:$S$604)</f>
        <v>1.80228999999999</v>
      </c>
      <c r="K11" s="9" t="n">
        <f aca="false">_xlfn.MAXIFS(Data!$C$2:$C$604,Data!$A$2:$A$604,"&gt;="&amp;C11,Data!$A$2:$A$604,"&lt;="&amp;D11)</f>
        <v>0.941</v>
      </c>
      <c r="L11" s="9" t="n">
        <f aca="false">AVERAGEIFS(Data!$T$2:$T$604,Data!$A$2:$A$604,"&gt;="&amp;C11,Data!$A$2:$A$604,"&lt;="&amp;D11)</f>
        <v>0.587044071428571</v>
      </c>
      <c r="M11" s="9" t="n">
        <f aca="false">AVERAGEIFS(Data!$U$2:$U$604,Data!$A$2:$A$604,"&gt;="&amp;C11,Data!$A$2:$A$604,"&lt;="&amp;D11)</f>
        <v>6.81869209696429</v>
      </c>
      <c r="N11" s="15" t="n">
        <f aca="false">_xlfn.MINIFS(Data!$B$2:$B$604,Data!$A$2:$A$604,"&gt;="&amp;C11,Data!$A$2:$A$604,"&lt;="&amp;D11)</f>
        <v>11.489</v>
      </c>
      <c r="O11" s="15" t="n">
        <f aca="false">INDEX(Data!$B$2:$B$604,MATCH(C11,Data!$A$2:$A$604,0)-1)</f>
        <v>11.797</v>
      </c>
      <c r="P11" s="9" t="n">
        <f aca="false">O11-N11</f>
        <v>0.308</v>
      </c>
      <c r="Q11" s="9" t="n">
        <f aca="false">AVERAGEIFS(Data!$D$2:$D$604,Data!$A$2:$A$604,"&gt;="&amp;C11,Data!$A$2:$A$604,"&lt;="&amp;D11)</f>
        <v>0.151285714285714</v>
      </c>
      <c r="R11" s="10" t="n">
        <f aca="false">SUMPRODUCT((Data!$A$2:$A$604&gt;=C11)*(Data!$A$2:$A$604&lt;=D11)*Data!$U$2:$U$604*Data!$S$2:$S$604)</f>
        <v>19.2433433470199</v>
      </c>
      <c r="S11" s="10" t="n">
        <f aca="false">SUMPRODUCT((Data!$A$2:$A$604&gt;=C11)*(Data!$A$2:$A$604&lt;=D11)*Data!$V$2:$V$604*Data!$S$2:$S$604)</f>
        <v>18.8400171999999</v>
      </c>
      <c r="T11" s="11" t="n">
        <f aca="false">IF(R11&gt;0,1-S11/R11,"")</f>
        <v>0.0209592553511481</v>
      </c>
      <c r="U11" s="10" t="n">
        <f aca="false">IF(J11&gt;=1,R11/J11,"")</f>
        <v>10.6771625803949</v>
      </c>
      <c r="V11" s="7"/>
    </row>
    <row r="12" customFormat="false" ht="15" hidden="false" customHeight="false" outlineLevel="0" collapsed="false">
      <c r="A12" s="7" t="s">
        <v>78</v>
      </c>
      <c r="B12" s="7" t="s">
        <v>11</v>
      </c>
      <c r="C12" s="13" t="n">
        <v>283.52</v>
      </c>
      <c r="D12" s="13" t="n">
        <v>285.91</v>
      </c>
      <c r="E12" s="13" t="n">
        <v>286.91</v>
      </c>
      <c r="F12" s="10" t="n">
        <f aca="false">D12-C12+0.2</f>
        <v>2.59000000000004</v>
      </c>
      <c r="G12" s="9" t="n">
        <f aca="false">_xlfn.MAXIFS(Data!$E$2:$E$604,Data!$A$2:$A$604,"&gt;="&amp;C12,Data!$A$2:$A$604,"&lt;="&amp;E12)</f>
        <v>0.696</v>
      </c>
      <c r="H12" s="14" t="n">
        <v>0.98</v>
      </c>
      <c r="I12" s="9" t="n">
        <f aca="false">AVERAGEIFS(Data!$E$2:$E$604,Data!$A$2:$A$604,"&gt;="&amp;C12,Data!$A$2:$A$604,"&lt;="&amp;D12)</f>
        <v>0.542076923076923</v>
      </c>
      <c r="J12" s="9" t="n">
        <f aca="false">SUMPRODUCT((Data!$A$2:$A$604&gt;=C12)*(Data!$A$2:$A$604&lt;=E12)*Data!$E$2:$E$604*Data!$S$2:$S$604)</f>
        <v>1.67489</v>
      </c>
      <c r="K12" s="9" t="n">
        <f aca="false">_xlfn.MAXIFS(Data!$C$2:$C$604,Data!$A$2:$A$604,"&gt;="&amp;C12,Data!$A$2:$A$604,"&lt;="&amp;D12)</f>
        <v>1.112</v>
      </c>
      <c r="L12" s="9" t="n">
        <f aca="false">AVERAGEIFS(Data!$T$2:$T$604,Data!$A$2:$A$604,"&gt;="&amp;C12,Data!$A$2:$A$604,"&lt;="&amp;D12)</f>
        <v>0.569765423076923</v>
      </c>
      <c r="M12" s="9" t="n">
        <f aca="false">AVERAGEIFS(Data!$U$2:$U$604,Data!$A$2:$A$604,"&gt;="&amp;C12,Data!$A$2:$A$604,"&lt;="&amp;D12)</f>
        <v>6.61080442192308</v>
      </c>
      <c r="N12" s="15" t="n">
        <f aca="false">_xlfn.MINIFS(Data!$B$2:$B$604,Data!$A$2:$A$604,"&gt;="&amp;C12,Data!$A$2:$A$604,"&lt;="&amp;D12)</f>
        <v>11.449</v>
      </c>
      <c r="O12" s="15" t="n">
        <f aca="false">INDEX(Data!$B$2:$B$604,MATCH(C12,Data!$A$2:$A$604,0)-1)</f>
        <v>11.79</v>
      </c>
      <c r="P12" s="9" t="n">
        <f aca="false">O12-N12</f>
        <v>0.340999999999999</v>
      </c>
      <c r="Q12" s="9" t="n">
        <f aca="false">AVERAGEIFS(Data!$D$2:$D$604,Data!$A$2:$A$604,"&gt;="&amp;C12,Data!$A$2:$A$604,"&lt;="&amp;D12)</f>
        <v>0.0405384615384615</v>
      </c>
      <c r="R12" s="10" t="n">
        <f aca="false">SUMPRODUCT((Data!$A$2:$A$604&gt;=C12)*(Data!$A$2:$A$604&lt;=D12)*Data!$U$2:$U$604*Data!$S$2:$S$604)</f>
        <v>17.2026438284552</v>
      </c>
      <c r="S12" s="10" t="n">
        <f aca="false">SUMPRODUCT((Data!$A$2:$A$604&gt;=C12)*(Data!$A$2:$A$604&lt;=D12)*Data!$V$2:$V$604*Data!$S$2:$S$604)</f>
        <v>17.1032424700002</v>
      </c>
      <c r="T12" s="11" t="n">
        <f aca="false">IF(R12&gt;0,1-S12/R12,"")</f>
        <v>0.00577826056542419</v>
      </c>
      <c r="U12" s="10" t="n">
        <f aca="false">IF(J12&gt;=1,R12/J12,"")</f>
        <v>10.2709096289638</v>
      </c>
      <c r="V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3"/>
    <col collapsed="false" customWidth="true" hidden="false" outlineLevel="0" max="13" min="13" style="0" width="70"/>
  </cols>
  <sheetData>
    <row r="1" customFormat="false" ht="45" hidden="false" customHeight="true" outlineLevel="0" collapsed="false">
      <c r="A1" s="12" t="s">
        <v>79</v>
      </c>
      <c r="B1" s="12" t="s">
        <v>44</v>
      </c>
      <c r="C1" s="12" t="s">
        <v>80</v>
      </c>
      <c r="D1" s="12" t="s">
        <v>81</v>
      </c>
      <c r="E1" s="12" t="s">
        <v>58</v>
      </c>
      <c r="F1" s="12" t="s">
        <v>82</v>
      </c>
      <c r="G1" s="12" t="s">
        <v>83</v>
      </c>
      <c r="H1" s="12" t="s">
        <v>39</v>
      </c>
      <c r="I1" s="12" t="s">
        <v>40</v>
      </c>
      <c r="J1" s="12" t="s">
        <v>84</v>
      </c>
      <c r="K1" s="12" t="s">
        <v>41</v>
      </c>
      <c r="L1" s="12" t="s">
        <v>85</v>
      </c>
      <c r="M1" s="12" t="s">
        <v>63</v>
      </c>
    </row>
    <row r="2" customFormat="false" ht="15" hidden="false" customHeight="false" outlineLevel="0" collapsed="false">
      <c r="A2" s="7" t="s">
        <v>86</v>
      </c>
      <c r="B2" s="13" t="n">
        <v>174.84</v>
      </c>
      <c r="C2" s="13" t="n">
        <v>179.23</v>
      </c>
      <c r="D2" s="10" t="n">
        <f aca="false">C2-B2+0.2</f>
        <v>4.58999999999999</v>
      </c>
      <c r="E2" s="9" t="n">
        <f aca="false">AVERAGEIFS(Data!$D$2:$D$604,Data!$A$2:$A$604,"&gt;="&amp;B2,Data!$A$2:$A$604,"&lt;="&amp;C2)</f>
        <v>5.72504347826087</v>
      </c>
      <c r="F2" s="15" t="n">
        <f aca="false">AVERAGEIFS(Data!$C$2:$C$604,Data!$A$2:$A$604,"&gt;="&amp;B2,Data!$A$2:$A$604,"&lt;="&amp;C2)</f>
        <v>-0.352347826086957</v>
      </c>
      <c r="G2" s="15" t="n">
        <f aca="false">AVERAGEIFS(Data!$B$2:$B$604,Data!$A$2:$A$604,"&gt;="&amp;B2,Data!$A$2:$A$604,"&lt;="&amp;C2)</f>
        <v>11.9800869565217</v>
      </c>
      <c r="H2" s="9" t="n">
        <f aca="false">-AVERAGEIFS(Data!$V$2:$V$604,Data!$A$2:$A$604,"&gt;="&amp;B2,Data!$A$2:$A$604,"&lt;="&amp;C2)</f>
        <v>4.22117747826087</v>
      </c>
      <c r="I2" s="9" t="n">
        <f aca="false">AVERAGEIFS(Data!$U$2:$U$604,Data!$A$2:$A$604,"&gt;="&amp;B2,Data!$A$2:$A$604,"&lt;="&amp;C2)</f>
        <v>1.36863795163044</v>
      </c>
      <c r="J2" s="8" t="n">
        <f aca="false">-SUMPRODUCT((Data!$A$2:$A$604&gt;=B2)*(Data!$A$2:$A$604&lt;=C2)*Data!$V$2:$V$604*Data!$S$2:$S$604)</f>
        <v>19.4144195</v>
      </c>
      <c r="K2" s="11" t="n">
        <f aca="false">IF(E2&gt;0,H2/E2,"")</f>
        <v>0.737317977459826</v>
      </c>
      <c r="L2" s="11" t="n">
        <f aca="false">IF(E2&gt;0,I2/E2,"")</f>
        <v>0.239061582122027</v>
      </c>
      <c r="M2" s="7" t="s">
        <v>87</v>
      </c>
    </row>
    <row r="3" customFormat="false" ht="15" hidden="false" customHeight="false" outlineLevel="0" collapsed="false">
      <c r="A3" s="7" t="s">
        <v>88</v>
      </c>
      <c r="B3" s="13" t="n">
        <v>201.84</v>
      </c>
      <c r="C3" s="13" t="n">
        <v>219.04</v>
      </c>
      <c r="D3" s="10" t="n">
        <f aca="false">C3-B3+0.2</f>
        <v>17.4</v>
      </c>
      <c r="E3" s="9" t="n">
        <f aca="false">AVERAGEIFS(Data!$D$2:$D$604,Data!$A$2:$A$604,"&gt;="&amp;B3,Data!$A$2:$A$604,"&lt;="&amp;C3)</f>
        <v>4.7766091954023</v>
      </c>
      <c r="F3" s="15" t="n">
        <f aca="false">AVERAGEIFS(Data!$C$2:$C$604,Data!$A$2:$A$604,"&gt;="&amp;B3,Data!$A$2:$A$604,"&lt;="&amp;C3)</f>
        <v>-0.276298850574713</v>
      </c>
      <c r="G3" s="15" t="n">
        <f aca="false">AVERAGEIFS(Data!$B$2:$B$604,Data!$A$2:$A$604,"&gt;="&amp;B3,Data!$A$2:$A$604,"&lt;="&amp;C3)</f>
        <v>11.9504367816092</v>
      </c>
      <c r="H3" s="9" t="n">
        <f aca="false">-AVERAGEIFS(Data!$V$2:$V$604,Data!$A$2:$A$604,"&gt;="&amp;B3,Data!$A$2:$A$604,"&lt;="&amp;C3)</f>
        <v>3.30303108045977</v>
      </c>
      <c r="I3" s="9" t="n">
        <f aca="false">AVERAGEIFS(Data!$U$2:$U$604,Data!$A$2:$A$604,"&gt;="&amp;B3,Data!$A$2:$A$604,"&lt;="&amp;C3)</f>
        <v>1.35034155068391</v>
      </c>
      <c r="J3" s="8" t="n">
        <f aca="false">-SUMPRODUCT((Data!$A$2:$A$604&gt;=B3)*(Data!$A$2:$A$604&lt;=C3)*Data!$V$2:$V$604*Data!$S$2:$S$604)</f>
        <v>57.4727408000001</v>
      </c>
      <c r="K3" s="11" t="n">
        <f aca="false">IF(E3&gt;0,H3/E3,"")</f>
        <v>0.691501218822567</v>
      </c>
      <c r="L3" s="11" t="n">
        <f aca="false">IF(E3&gt;0,I3/E3,"")</f>
        <v>0.282698771334208</v>
      </c>
      <c r="M3" s="7" t="s">
        <v>89</v>
      </c>
    </row>
    <row r="5" customFormat="false" ht="15" hidden="false" customHeight="false" outlineLevel="0" collapsed="false">
      <c r="A5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1"/>
  </cols>
  <sheetData>
    <row r="1" customFormat="false" ht="15" hidden="false" customHeight="false" outlineLevel="0" collapsed="false">
      <c r="A1" s="6" t="s">
        <v>91</v>
      </c>
      <c r="B1" s="6" t="s">
        <v>92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97</v>
      </c>
      <c r="H1" s="6" t="s">
        <v>98</v>
      </c>
      <c r="I1" s="6" t="s">
        <v>99</v>
      </c>
      <c r="J1" s="6" t="s">
        <v>100</v>
      </c>
      <c r="K1" s="6" t="s">
        <v>101</v>
      </c>
      <c r="L1" s="6" t="s">
        <v>102</v>
      </c>
      <c r="M1" s="6" t="s">
        <v>103</v>
      </c>
      <c r="N1" s="6" t="s">
        <v>104</v>
      </c>
      <c r="O1" s="6" t="s">
        <v>105</v>
      </c>
      <c r="P1" s="6" t="s">
        <v>106</v>
      </c>
      <c r="Q1" s="6" t="s">
        <v>107</v>
      </c>
      <c r="R1" s="6" t="s">
        <v>108</v>
      </c>
      <c r="S1" s="6" t="s">
        <v>109</v>
      </c>
      <c r="T1" s="6" t="s">
        <v>110</v>
      </c>
      <c r="U1" s="6" t="s">
        <v>111</v>
      </c>
      <c r="V1" s="6" t="s">
        <v>112</v>
      </c>
      <c r="W1" s="6" t="s">
        <v>113</v>
      </c>
      <c r="X1" s="6" t="s">
        <v>114</v>
      </c>
    </row>
    <row r="2" customFormat="false" ht="15" hidden="false" customHeight="false" outlineLevel="0" collapsed="false">
      <c r="A2" s="2" t="n">
        <v>174.84</v>
      </c>
      <c r="B2" s="2" t="n">
        <v>11.977</v>
      </c>
      <c r="C2" s="2" t="n">
        <v>-0.345</v>
      </c>
      <c r="D2" s="2" t="n">
        <v>5.611</v>
      </c>
      <c r="E2" s="2" t="n">
        <v>0</v>
      </c>
      <c r="F2" s="2" t="n">
        <v>76</v>
      </c>
      <c r="G2" s="2" t="n">
        <v>400</v>
      </c>
      <c r="H2" s="2" t="n">
        <v>124</v>
      </c>
      <c r="I2" s="2" t="n">
        <v>400</v>
      </c>
      <c r="J2" s="2"/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1</v>
      </c>
      <c r="R2" s="2" t="n">
        <v>0</v>
      </c>
      <c r="S2" s="2" t="n">
        <f aca="false">A3-A2</f>
        <v>0.189999999999998</v>
      </c>
      <c r="T2" s="2" t="n">
        <f aca="false">C2+Summary!$C$8*D2</f>
        <v>0.1122965</v>
      </c>
      <c r="U2" s="2" t="n">
        <f aca="false">B2*T2</f>
        <v>1.3449751805</v>
      </c>
      <c r="V2" s="2" t="n">
        <f aca="false">B2*C2</f>
        <v>-4.132065</v>
      </c>
    </row>
    <row r="3" customFormat="false" ht="15" hidden="false" customHeight="false" outlineLevel="0" collapsed="false">
      <c r="A3" s="2" t="n">
        <v>175.03</v>
      </c>
      <c r="B3" s="2" t="n">
        <v>11.977</v>
      </c>
      <c r="C3" s="2" t="n">
        <v>-0.345</v>
      </c>
      <c r="D3" s="2" t="n">
        <v>5.605</v>
      </c>
      <c r="E3" s="2" t="n">
        <v>0</v>
      </c>
      <c r="F3" s="2" t="n">
        <v>76</v>
      </c>
      <c r="G3" s="2" t="n">
        <v>400</v>
      </c>
      <c r="H3" s="2" t="n">
        <v>124</v>
      </c>
      <c r="I3" s="2" t="n">
        <v>400</v>
      </c>
      <c r="J3" s="2"/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1</v>
      </c>
      <c r="R3" s="2" t="n">
        <v>0</v>
      </c>
      <c r="S3" s="2" t="n">
        <f aca="false">A4-A3</f>
        <v>0.210000000000008</v>
      </c>
      <c r="T3" s="2" t="n">
        <f aca="false">C3+Summary!$C$8*D3</f>
        <v>0.1118075</v>
      </c>
      <c r="U3" s="2" t="n">
        <f aca="false">B3*T3</f>
        <v>1.3391184275</v>
      </c>
      <c r="V3" s="2" t="n">
        <f aca="false">B3*C3</f>
        <v>-4.132065</v>
      </c>
    </row>
    <row r="4" customFormat="false" ht="15" hidden="false" customHeight="false" outlineLevel="0" collapsed="false">
      <c r="A4" s="2" t="n">
        <v>175.24</v>
      </c>
      <c r="B4" s="2" t="n">
        <v>11.973</v>
      </c>
      <c r="C4" s="2" t="n">
        <v>-0.345</v>
      </c>
      <c r="D4" s="2" t="n">
        <v>5.612</v>
      </c>
      <c r="E4" s="2" t="n">
        <v>0</v>
      </c>
      <c r="F4" s="2" t="n">
        <v>76</v>
      </c>
      <c r="G4" s="2" t="n">
        <v>400</v>
      </c>
      <c r="H4" s="2" t="n">
        <v>125</v>
      </c>
      <c r="I4" s="2" t="n">
        <v>400</v>
      </c>
      <c r="J4" s="2"/>
      <c r="K4" s="2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1</v>
      </c>
      <c r="R4" s="2" t="n">
        <v>0</v>
      </c>
      <c r="S4" s="2" t="n">
        <f aca="false">A5-A4</f>
        <v>0.199999999999989</v>
      </c>
      <c r="T4" s="2" t="n">
        <f aca="false">C4+Summary!$C$8*D4</f>
        <v>0.112378</v>
      </c>
      <c r="U4" s="2" t="n">
        <f aca="false">B4*T4</f>
        <v>1.345501794</v>
      </c>
      <c r="V4" s="2" t="n">
        <f aca="false">B4*C4</f>
        <v>-4.130685</v>
      </c>
    </row>
    <row r="5" customFormat="false" ht="15" hidden="false" customHeight="false" outlineLevel="0" collapsed="false">
      <c r="A5" s="2" t="n">
        <v>175.44</v>
      </c>
      <c r="B5" s="2" t="n">
        <v>11.977</v>
      </c>
      <c r="C5" s="2" t="n">
        <v>-0.346</v>
      </c>
      <c r="D5" s="2" t="n">
        <v>5.629</v>
      </c>
      <c r="E5" s="2" t="n">
        <v>0</v>
      </c>
      <c r="F5" s="2" t="n">
        <v>76</v>
      </c>
      <c r="G5" s="2" t="n">
        <v>400</v>
      </c>
      <c r="H5" s="2" t="n">
        <v>124</v>
      </c>
      <c r="I5" s="2" t="n">
        <v>400</v>
      </c>
      <c r="J5" s="2"/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</v>
      </c>
      <c r="Q5" s="2" t="n">
        <v>1</v>
      </c>
      <c r="R5" s="2" t="n">
        <v>0</v>
      </c>
      <c r="S5" s="2" t="n">
        <f aca="false">A6-A5</f>
        <v>0.189999999999998</v>
      </c>
      <c r="T5" s="2" t="n">
        <f aca="false">C5+Summary!$C$8*D5</f>
        <v>0.1127635</v>
      </c>
      <c r="U5" s="2" t="n">
        <f aca="false">B5*T5</f>
        <v>1.3505684395</v>
      </c>
      <c r="V5" s="2" t="n">
        <f aca="false">B5*C5</f>
        <v>-4.144042</v>
      </c>
    </row>
    <row r="6" customFormat="false" ht="15" hidden="false" customHeight="false" outlineLevel="0" collapsed="false">
      <c r="A6" s="2" t="n">
        <v>175.63</v>
      </c>
      <c r="B6" s="2" t="n">
        <v>11.977</v>
      </c>
      <c r="C6" s="2" t="n">
        <v>-0.348</v>
      </c>
      <c r="D6" s="2" t="n">
        <v>5.635</v>
      </c>
      <c r="E6" s="2" t="n">
        <v>0</v>
      </c>
      <c r="F6" s="2" t="n">
        <v>76</v>
      </c>
      <c r="G6" s="2" t="n">
        <v>400</v>
      </c>
      <c r="H6" s="2" t="n">
        <v>126</v>
      </c>
      <c r="I6" s="2" t="n">
        <v>400</v>
      </c>
      <c r="J6" s="2"/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1</v>
      </c>
      <c r="R6" s="2" t="n">
        <v>0</v>
      </c>
      <c r="S6" s="2" t="n">
        <f aca="false">A7-A6</f>
        <v>0.210000000000008</v>
      </c>
      <c r="T6" s="2" t="n">
        <f aca="false">C6+Summary!$C$8*D6</f>
        <v>0.1112525</v>
      </c>
      <c r="U6" s="2" t="n">
        <f aca="false">B6*T6</f>
        <v>1.3324711925</v>
      </c>
      <c r="V6" s="2" t="n">
        <f aca="false">B6*C6</f>
        <v>-4.167996</v>
      </c>
    </row>
    <row r="7" customFormat="false" ht="15" hidden="false" customHeight="false" outlineLevel="0" collapsed="false">
      <c r="A7" s="2" t="n">
        <v>175.84</v>
      </c>
      <c r="B7" s="2" t="n">
        <v>11.98</v>
      </c>
      <c r="C7" s="2" t="n">
        <v>-0.347</v>
      </c>
      <c r="D7" s="2" t="n">
        <v>5.641</v>
      </c>
      <c r="E7" s="2" t="n">
        <v>0</v>
      </c>
      <c r="F7" s="2" t="n">
        <v>76</v>
      </c>
      <c r="G7" s="2" t="n">
        <v>72</v>
      </c>
      <c r="H7" s="2" t="n">
        <v>29</v>
      </c>
      <c r="I7" s="2" t="n">
        <v>400</v>
      </c>
      <c r="J7" s="2"/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1</v>
      </c>
      <c r="R7" s="2" t="n">
        <v>0</v>
      </c>
      <c r="S7" s="2" t="n">
        <f aca="false">A8-A7</f>
        <v>0.189999999999998</v>
      </c>
      <c r="T7" s="2" t="n">
        <f aca="false">C7+Summary!$C$8*D7</f>
        <v>0.1127415</v>
      </c>
      <c r="U7" s="2" t="n">
        <f aca="false">B7*T7</f>
        <v>1.35064317</v>
      </c>
      <c r="V7" s="2" t="n">
        <f aca="false">B7*C7</f>
        <v>-4.15706</v>
      </c>
    </row>
    <row r="8" customFormat="false" ht="15" hidden="false" customHeight="false" outlineLevel="0" collapsed="false">
      <c r="A8" s="2" t="n">
        <v>176.03</v>
      </c>
      <c r="B8" s="2" t="n">
        <v>11.976</v>
      </c>
      <c r="C8" s="2" t="n">
        <v>-0.313</v>
      </c>
      <c r="D8" s="2" t="n">
        <v>5.647</v>
      </c>
      <c r="E8" s="2" t="n">
        <v>0</v>
      </c>
      <c r="F8" s="2" t="n">
        <v>76</v>
      </c>
      <c r="G8" s="2" t="n">
        <v>400</v>
      </c>
      <c r="H8" s="2" t="n">
        <v>126</v>
      </c>
      <c r="I8" s="2" t="n">
        <v>400</v>
      </c>
      <c r="J8" s="2"/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1</v>
      </c>
      <c r="R8" s="2" t="n">
        <v>0</v>
      </c>
      <c r="S8" s="2" t="n">
        <f aca="false">A9-A8</f>
        <v>0.210000000000008</v>
      </c>
      <c r="T8" s="2" t="n">
        <f aca="false">C8+Summary!$C$8*D8</f>
        <v>0.1472305</v>
      </c>
      <c r="U8" s="2" t="n">
        <f aca="false">B8*T8</f>
        <v>1.763232468</v>
      </c>
      <c r="V8" s="2" t="n">
        <f aca="false">B8*C8</f>
        <v>-3.748488</v>
      </c>
    </row>
    <row r="9" customFormat="false" ht="15" hidden="false" customHeight="false" outlineLevel="0" collapsed="false">
      <c r="A9" s="2" t="n">
        <v>176.24</v>
      </c>
      <c r="B9" s="2" t="n">
        <v>11.98</v>
      </c>
      <c r="C9" s="2" t="n">
        <v>-0.35</v>
      </c>
      <c r="D9" s="2" t="n">
        <v>5.681</v>
      </c>
      <c r="E9" s="2" t="n">
        <v>0</v>
      </c>
      <c r="F9" s="2" t="n">
        <v>76</v>
      </c>
      <c r="G9" s="2" t="n">
        <v>73</v>
      </c>
      <c r="H9" s="2" t="n">
        <v>29</v>
      </c>
      <c r="I9" s="2" t="n">
        <v>400</v>
      </c>
      <c r="J9" s="2"/>
      <c r="K9" s="2" t="n">
        <v>1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1</v>
      </c>
      <c r="R9" s="2" t="n">
        <v>0</v>
      </c>
      <c r="S9" s="2" t="n">
        <f aca="false">A10-A9</f>
        <v>0.199999999999989</v>
      </c>
      <c r="T9" s="2" t="n">
        <f aca="false">C9+Summary!$C$8*D9</f>
        <v>0.1130015</v>
      </c>
      <c r="U9" s="2" t="n">
        <f aca="false">B9*T9</f>
        <v>1.35375797</v>
      </c>
      <c r="V9" s="2" t="n">
        <f aca="false">B9*C9</f>
        <v>-4.193</v>
      </c>
    </row>
    <row r="10" customFormat="false" ht="15" hidden="false" customHeight="false" outlineLevel="0" collapsed="false">
      <c r="A10" s="2" t="n">
        <v>176.44</v>
      </c>
      <c r="B10" s="2" t="n">
        <v>11.98</v>
      </c>
      <c r="C10" s="2" t="n">
        <v>-0.353</v>
      </c>
      <c r="D10" s="2" t="n">
        <v>5.694</v>
      </c>
      <c r="E10" s="2" t="n">
        <v>0</v>
      </c>
      <c r="F10" s="2" t="n">
        <v>76</v>
      </c>
      <c r="G10" s="2" t="n">
        <v>72</v>
      </c>
      <c r="H10" s="2" t="n">
        <v>30</v>
      </c>
      <c r="I10" s="2" t="n">
        <v>400</v>
      </c>
      <c r="J10" s="2"/>
      <c r="K10" s="2" t="n">
        <v>1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1</v>
      </c>
      <c r="R10" s="2" t="n">
        <v>0</v>
      </c>
      <c r="S10" s="2" t="n">
        <f aca="false">A11-A10</f>
        <v>0.189999999999998</v>
      </c>
      <c r="T10" s="2" t="n">
        <f aca="false">C10+Summary!$C$8*D10</f>
        <v>0.111061</v>
      </c>
      <c r="U10" s="2" t="n">
        <f aca="false">B10*T10</f>
        <v>1.33051078</v>
      </c>
      <c r="V10" s="2" t="n">
        <f aca="false">B10*C10</f>
        <v>-4.22894</v>
      </c>
    </row>
    <row r="11" customFormat="false" ht="15" hidden="false" customHeight="false" outlineLevel="0" collapsed="false">
      <c r="A11" s="2" t="n">
        <v>176.63</v>
      </c>
      <c r="B11" s="2" t="n">
        <v>11.98</v>
      </c>
      <c r="C11" s="2" t="n">
        <v>-0.352</v>
      </c>
      <c r="D11" s="2" t="n">
        <v>5.713</v>
      </c>
      <c r="E11" s="2" t="n">
        <v>0</v>
      </c>
      <c r="F11" s="2" t="n">
        <v>76</v>
      </c>
      <c r="G11" s="2" t="n">
        <v>400</v>
      </c>
      <c r="H11" s="2" t="n">
        <v>126</v>
      </c>
      <c r="I11" s="2" t="n">
        <v>400</v>
      </c>
      <c r="J11" s="2"/>
      <c r="K11" s="2" t="n">
        <v>1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1</v>
      </c>
      <c r="R11" s="2" t="n">
        <v>0</v>
      </c>
      <c r="S11" s="2" t="n">
        <f aca="false">A12-A11</f>
        <v>0.210000000000008</v>
      </c>
      <c r="T11" s="2" t="n">
        <f aca="false">C11+Summary!$C$8*D11</f>
        <v>0.1136095</v>
      </c>
      <c r="U11" s="2" t="n">
        <f aca="false">B11*T11</f>
        <v>1.36104181</v>
      </c>
      <c r="V11" s="2" t="n">
        <f aca="false">B11*C11</f>
        <v>-4.21696</v>
      </c>
    </row>
    <row r="12" customFormat="false" ht="15" hidden="false" customHeight="false" outlineLevel="0" collapsed="false">
      <c r="A12" s="2" t="n">
        <v>176.84</v>
      </c>
      <c r="B12" s="2" t="n">
        <v>11.98</v>
      </c>
      <c r="C12" s="2" t="n">
        <v>-0.355</v>
      </c>
      <c r="D12" s="2" t="n">
        <v>5.737</v>
      </c>
      <c r="E12" s="2" t="n">
        <v>0</v>
      </c>
      <c r="F12" s="2" t="n">
        <v>76</v>
      </c>
      <c r="G12" s="2" t="n">
        <v>400</v>
      </c>
      <c r="H12" s="2" t="n">
        <v>124</v>
      </c>
      <c r="I12" s="2" t="n">
        <v>400</v>
      </c>
      <c r="J12" s="2"/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</v>
      </c>
      <c r="Q12" s="2" t="n">
        <v>1</v>
      </c>
      <c r="R12" s="2" t="n">
        <v>0</v>
      </c>
      <c r="S12" s="2" t="n">
        <f aca="false">A13-A12</f>
        <v>0.189999999999998</v>
      </c>
      <c r="T12" s="2" t="n">
        <f aca="false">C12+Summary!$C$8*D12</f>
        <v>0.1125655</v>
      </c>
      <c r="U12" s="2" t="n">
        <f aca="false">B12*T12</f>
        <v>1.34853469</v>
      </c>
      <c r="V12" s="2" t="n">
        <f aca="false">B12*C12</f>
        <v>-4.2529</v>
      </c>
    </row>
    <row r="13" customFormat="false" ht="15" hidden="false" customHeight="false" outlineLevel="0" collapsed="false">
      <c r="A13" s="2" t="n">
        <v>177.03</v>
      </c>
      <c r="B13" s="2" t="n">
        <v>11.984</v>
      </c>
      <c r="C13" s="2" t="n">
        <v>-0.357</v>
      </c>
      <c r="D13" s="2" t="n">
        <v>5.763</v>
      </c>
      <c r="E13" s="2" t="n">
        <v>0</v>
      </c>
      <c r="F13" s="2" t="n">
        <v>76</v>
      </c>
      <c r="G13" s="2" t="n">
        <v>400</v>
      </c>
      <c r="H13" s="2" t="n">
        <v>29</v>
      </c>
      <c r="I13" s="2" t="n">
        <v>400</v>
      </c>
      <c r="J13" s="2"/>
      <c r="K13" s="2" t="n">
        <v>1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1</v>
      </c>
      <c r="R13" s="2" t="n">
        <v>0</v>
      </c>
      <c r="S13" s="2" t="n">
        <f aca="false">A14-A13</f>
        <v>0.210000000000008</v>
      </c>
      <c r="T13" s="2" t="n">
        <f aca="false">C13+Summary!$C$8*D13</f>
        <v>0.1126845</v>
      </c>
      <c r="U13" s="2" t="n">
        <f aca="false">B13*T13</f>
        <v>1.350411048</v>
      </c>
      <c r="V13" s="2" t="n">
        <f aca="false">B13*C13</f>
        <v>-4.278288</v>
      </c>
    </row>
    <row r="14" customFormat="false" ht="15" hidden="false" customHeight="false" outlineLevel="0" collapsed="false">
      <c r="A14" s="2" t="n">
        <v>177.24</v>
      </c>
      <c r="B14" s="2" t="n">
        <v>11.98</v>
      </c>
      <c r="C14" s="2" t="n">
        <v>-0.357</v>
      </c>
      <c r="D14" s="2" t="n">
        <v>5.771</v>
      </c>
      <c r="E14" s="2" t="n">
        <v>0</v>
      </c>
      <c r="F14" s="2" t="n">
        <v>76</v>
      </c>
      <c r="G14" s="2" t="n">
        <v>400</v>
      </c>
      <c r="H14" s="2" t="n">
        <v>125</v>
      </c>
      <c r="I14" s="2" t="n">
        <v>400</v>
      </c>
      <c r="J14" s="2"/>
      <c r="K14" s="2" t="n">
        <v>1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  <c r="Q14" s="2" t="n">
        <v>1</v>
      </c>
      <c r="R14" s="2" t="n">
        <v>0</v>
      </c>
      <c r="S14" s="2" t="n">
        <f aca="false">A15-A14</f>
        <v>0.199999999999989</v>
      </c>
      <c r="T14" s="2" t="n">
        <f aca="false">C14+Summary!$C$8*D14</f>
        <v>0.1133365</v>
      </c>
      <c r="U14" s="2" t="n">
        <f aca="false">B14*T14</f>
        <v>1.35777127</v>
      </c>
      <c r="V14" s="2" t="n">
        <f aca="false">B14*C14</f>
        <v>-4.27686</v>
      </c>
    </row>
    <row r="15" customFormat="false" ht="15" hidden="false" customHeight="false" outlineLevel="0" collapsed="false">
      <c r="A15" s="2" t="n">
        <v>177.44</v>
      </c>
      <c r="B15" s="2" t="n">
        <v>11.98</v>
      </c>
      <c r="C15" s="2" t="n">
        <v>-0.354</v>
      </c>
      <c r="D15" s="2" t="n">
        <v>5.776</v>
      </c>
      <c r="E15" s="2" t="n">
        <v>0</v>
      </c>
      <c r="F15" s="2" t="n">
        <v>76</v>
      </c>
      <c r="G15" s="2" t="n">
        <v>400</v>
      </c>
      <c r="H15" s="2" t="n">
        <v>30</v>
      </c>
      <c r="I15" s="2" t="n">
        <v>400</v>
      </c>
      <c r="J15" s="2"/>
      <c r="K15" s="2" t="n">
        <v>1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</v>
      </c>
      <c r="Q15" s="2" t="n">
        <v>1</v>
      </c>
      <c r="R15" s="2" t="n">
        <v>0</v>
      </c>
      <c r="S15" s="2" t="n">
        <f aca="false">A16-A15</f>
        <v>0.189999999999998</v>
      </c>
      <c r="T15" s="2" t="n">
        <f aca="false">C15+Summary!$C$8*D15</f>
        <v>0.116744</v>
      </c>
      <c r="U15" s="2" t="n">
        <f aca="false">B15*T15</f>
        <v>1.39859312</v>
      </c>
      <c r="V15" s="2" t="n">
        <f aca="false">B15*C15</f>
        <v>-4.24092</v>
      </c>
    </row>
    <row r="16" customFormat="false" ht="15" hidden="false" customHeight="false" outlineLevel="0" collapsed="false">
      <c r="A16" s="2" t="n">
        <v>177.63</v>
      </c>
      <c r="B16" s="2" t="n">
        <v>11.983</v>
      </c>
      <c r="C16" s="2" t="n">
        <v>-0.36</v>
      </c>
      <c r="D16" s="2" t="n">
        <v>5.792</v>
      </c>
      <c r="E16" s="2" t="n">
        <v>0</v>
      </c>
      <c r="F16" s="2" t="n">
        <v>76</v>
      </c>
      <c r="G16" s="2" t="n">
        <v>400</v>
      </c>
      <c r="H16" s="2" t="n">
        <v>126</v>
      </c>
      <c r="I16" s="2" t="n">
        <v>59</v>
      </c>
      <c r="J16" s="2"/>
      <c r="K16" s="2" t="n">
        <v>1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1</v>
      </c>
      <c r="Q16" s="2" t="n">
        <v>1</v>
      </c>
      <c r="R16" s="2" t="n">
        <v>0</v>
      </c>
      <c r="S16" s="2" t="n">
        <f aca="false">A17-A16</f>
        <v>0.210000000000008</v>
      </c>
      <c r="T16" s="2" t="n">
        <f aca="false">C16+Summary!$C$8*D16</f>
        <v>0.112048</v>
      </c>
      <c r="U16" s="2" t="n">
        <f aca="false">B16*T16</f>
        <v>1.342671184</v>
      </c>
      <c r="V16" s="2" t="n">
        <f aca="false">B16*C16</f>
        <v>-4.31388</v>
      </c>
    </row>
    <row r="17" customFormat="false" ht="15" hidden="false" customHeight="false" outlineLevel="0" collapsed="false">
      <c r="A17" s="2" t="n">
        <v>177.84</v>
      </c>
      <c r="B17" s="2" t="n">
        <v>11.983</v>
      </c>
      <c r="C17" s="2" t="n">
        <v>-0.359</v>
      </c>
      <c r="D17" s="2" t="n">
        <v>5.799</v>
      </c>
      <c r="E17" s="2" t="n">
        <v>0</v>
      </c>
      <c r="F17" s="2" t="n">
        <v>76</v>
      </c>
      <c r="G17" s="2" t="n">
        <v>400</v>
      </c>
      <c r="H17" s="2" t="n">
        <v>124</v>
      </c>
      <c r="I17" s="2" t="n">
        <v>400</v>
      </c>
      <c r="J17" s="2"/>
      <c r="K17" s="2" t="n">
        <v>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</v>
      </c>
      <c r="Q17" s="2" t="n">
        <v>1</v>
      </c>
      <c r="R17" s="2" t="n">
        <v>0</v>
      </c>
      <c r="S17" s="2" t="n">
        <f aca="false">A18-A17</f>
        <v>0.189999999999998</v>
      </c>
      <c r="T17" s="2" t="n">
        <f aca="false">C17+Summary!$C$8*D17</f>
        <v>0.1136185</v>
      </c>
      <c r="U17" s="2" t="n">
        <f aca="false">B17*T17</f>
        <v>1.3614904855</v>
      </c>
      <c r="V17" s="2" t="n">
        <f aca="false">B17*C17</f>
        <v>-4.301897</v>
      </c>
    </row>
    <row r="18" customFormat="false" ht="15" hidden="false" customHeight="false" outlineLevel="0" collapsed="false">
      <c r="A18" s="2" t="n">
        <v>178.03</v>
      </c>
      <c r="B18" s="2" t="n">
        <v>11.979</v>
      </c>
      <c r="C18" s="2" t="n">
        <v>-0.36</v>
      </c>
      <c r="D18" s="2" t="n">
        <v>5.797</v>
      </c>
      <c r="E18" s="2" t="n">
        <v>0</v>
      </c>
      <c r="F18" s="2" t="n">
        <v>76</v>
      </c>
      <c r="G18" s="2" t="n">
        <v>400</v>
      </c>
      <c r="H18" s="2" t="n">
        <v>126</v>
      </c>
      <c r="I18" s="2" t="n">
        <v>400</v>
      </c>
      <c r="J18" s="2"/>
      <c r="K18" s="2" t="n">
        <v>1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1</v>
      </c>
      <c r="R18" s="2" t="n">
        <v>0</v>
      </c>
      <c r="S18" s="2" t="n">
        <f aca="false">A19-A18</f>
        <v>0.210000000000008</v>
      </c>
      <c r="T18" s="2" t="n">
        <f aca="false">C18+Summary!$C$8*D18</f>
        <v>0.1124555</v>
      </c>
      <c r="U18" s="2" t="n">
        <f aca="false">B18*T18</f>
        <v>1.3471044345</v>
      </c>
      <c r="V18" s="2" t="n">
        <f aca="false">B18*C18</f>
        <v>-4.31244</v>
      </c>
    </row>
    <row r="19" customFormat="false" ht="15" hidden="false" customHeight="false" outlineLevel="0" collapsed="false">
      <c r="A19" s="2" t="n">
        <v>178.24</v>
      </c>
      <c r="B19" s="2" t="n">
        <v>11.983</v>
      </c>
      <c r="C19" s="2" t="n">
        <v>-0.361</v>
      </c>
      <c r="D19" s="2" t="n">
        <v>5.803</v>
      </c>
      <c r="E19" s="2" t="n">
        <v>0</v>
      </c>
      <c r="F19" s="2" t="n">
        <v>76</v>
      </c>
      <c r="G19" s="2" t="n">
        <v>400</v>
      </c>
      <c r="H19" s="2" t="n">
        <v>124</v>
      </c>
      <c r="I19" s="2" t="n">
        <v>400</v>
      </c>
      <c r="J19" s="2"/>
      <c r="K19" s="2" t="n">
        <v>1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</v>
      </c>
      <c r="Q19" s="2" t="n">
        <v>1</v>
      </c>
      <c r="R19" s="2" t="n">
        <v>0</v>
      </c>
      <c r="S19" s="2" t="n">
        <f aca="false">A20-A19</f>
        <v>0.199999999999989</v>
      </c>
      <c r="T19" s="2" t="n">
        <f aca="false">C19+Summary!$C$8*D19</f>
        <v>0.1119445</v>
      </c>
      <c r="U19" s="2" t="n">
        <f aca="false">B19*T19</f>
        <v>1.3414309435</v>
      </c>
      <c r="V19" s="2" t="n">
        <f aca="false">B19*C19</f>
        <v>-4.325863</v>
      </c>
    </row>
    <row r="20" customFormat="false" ht="15" hidden="false" customHeight="false" outlineLevel="0" collapsed="false">
      <c r="A20" s="2" t="n">
        <v>178.44</v>
      </c>
      <c r="B20" s="2" t="n">
        <v>11.983</v>
      </c>
      <c r="C20" s="2" t="n">
        <v>-0.36</v>
      </c>
      <c r="D20" s="2" t="n">
        <v>5.804</v>
      </c>
      <c r="E20" s="2" t="n">
        <v>0</v>
      </c>
      <c r="F20" s="2" t="n">
        <v>76</v>
      </c>
      <c r="G20" s="2" t="n">
        <v>400</v>
      </c>
      <c r="H20" s="2" t="n">
        <v>29</v>
      </c>
      <c r="I20" s="2" t="n">
        <v>400</v>
      </c>
      <c r="J20" s="2"/>
      <c r="K20" s="2" t="n">
        <v>1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1</v>
      </c>
      <c r="Q20" s="2" t="n">
        <v>1</v>
      </c>
      <c r="R20" s="2" t="n">
        <v>0</v>
      </c>
      <c r="S20" s="2" t="n">
        <f aca="false">A21-A20</f>
        <v>0.189999999999998</v>
      </c>
      <c r="T20" s="2" t="n">
        <f aca="false">C20+Summary!$C$8*D20</f>
        <v>0.113026</v>
      </c>
      <c r="U20" s="2" t="n">
        <f aca="false">B20*T20</f>
        <v>1.354390558</v>
      </c>
      <c r="V20" s="2" t="n">
        <f aca="false">B20*C20</f>
        <v>-4.31388</v>
      </c>
    </row>
    <row r="21" customFormat="false" ht="15" hidden="false" customHeight="false" outlineLevel="0" collapsed="false">
      <c r="A21" s="2" t="n">
        <v>178.63</v>
      </c>
      <c r="B21" s="2" t="n">
        <v>11.983</v>
      </c>
      <c r="C21" s="2" t="n">
        <v>-0.36</v>
      </c>
      <c r="D21" s="2" t="n">
        <v>5.799</v>
      </c>
      <c r="E21" s="2" t="n">
        <v>0</v>
      </c>
      <c r="F21" s="2" t="n">
        <v>76</v>
      </c>
      <c r="G21" s="2" t="n">
        <v>400</v>
      </c>
      <c r="H21" s="2" t="n">
        <v>127</v>
      </c>
      <c r="I21" s="2" t="n">
        <v>400</v>
      </c>
      <c r="J21" s="2"/>
      <c r="K21" s="2" t="n">
        <v>1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</v>
      </c>
      <c r="Q21" s="2" t="n">
        <v>1</v>
      </c>
      <c r="R21" s="2" t="n">
        <v>0</v>
      </c>
      <c r="S21" s="2" t="n">
        <f aca="false">A22-A21</f>
        <v>0.200000000000017</v>
      </c>
      <c r="T21" s="2" t="n">
        <f aca="false">C21+Summary!$C$8*D21</f>
        <v>0.1126185</v>
      </c>
      <c r="U21" s="2" t="n">
        <f aca="false">B21*T21</f>
        <v>1.3495074855</v>
      </c>
      <c r="V21" s="2" t="n">
        <f aca="false">B21*C21</f>
        <v>-4.31388</v>
      </c>
    </row>
    <row r="22" customFormat="false" ht="15" hidden="false" customHeight="false" outlineLevel="0" collapsed="false">
      <c r="A22" s="2" t="n">
        <v>178.83</v>
      </c>
      <c r="B22" s="2" t="n">
        <v>11.98</v>
      </c>
      <c r="C22" s="2" t="n">
        <v>-0.359</v>
      </c>
      <c r="D22" s="2" t="n">
        <v>5.792</v>
      </c>
      <c r="E22" s="2" t="n">
        <v>0</v>
      </c>
      <c r="F22" s="2" t="n">
        <v>76</v>
      </c>
      <c r="G22" s="2" t="n">
        <v>400</v>
      </c>
      <c r="H22" s="2" t="n">
        <v>125</v>
      </c>
      <c r="I22" s="2" t="n">
        <v>400</v>
      </c>
      <c r="J22" s="2"/>
      <c r="K22" s="2" t="n">
        <v>1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</v>
      </c>
      <c r="Q22" s="2" t="n">
        <v>1</v>
      </c>
      <c r="R22" s="2" t="n">
        <v>0</v>
      </c>
      <c r="S22" s="2" t="n">
        <f aca="false">A23-A22</f>
        <v>0.199999999999989</v>
      </c>
      <c r="T22" s="2" t="n">
        <f aca="false">C22+Summary!$C$8*D22</f>
        <v>0.113048</v>
      </c>
      <c r="U22" s="2" t="n">
        <f aca="false">B22*T22</f>
        <v>1.35431504</v>
      </c>
      <c r="V22" s="2" t="n">
        <f aca="false">B22*C22</f>
        <v>-4.30082</v>
      </c>
    </row>
    <row r="23" customFormat="false" ht="15" hidden="false" customHeight="false" outlineLevel="0" collapsed="false">
      <c r="A23" s="2" t="n">
        <v>179.03</v>
      </c>
      <c r="B23" s="2" t="n">
        <v>11.984</v>
      </c>
      <c r="C23" s="2" t="n">
        <v>-0.359</v>
      </c>
      <c r="D23" s="2" t="n">
        <v>5.786</v>
      </c>
      <c r="E23" s="2" t="n">
        <v>0</v>
      </c>
      <c r="F23" s="2" t="n">
        <v>76</v>
      </c>
      <c r="G23" s="2" t="n">
        <v>400</v>
      </c>
      <c r="H23" s="2" t="n">
        <v>126</v>
      </c>
      <c r="I23" s="2" t="n">
        <v>400</v>
      </c>
      <c r="J23" s="2"/>
      <c r="K23" s="2" t="n">
        <v>1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1</v>
      </c>
      <c r="Q23" s="2" t="n">
        <v>1</v>
      </c>
      <c r="R23" s="2" t="n">
        <v>0</v>
      </c>
      <c r="S23" s="2" t="n">
        <f aca="false">A24-A23</f>
        <v>0.199999999999989</v>
      </c>
      <c r="T23" s="2" t="n">
        <f aca="false">C23+Summary!$C$8*D23</f>
        <v>0.112559</v>
      </c>
      <c r="U23" s="2" t="n">
        <f aca="false">B23*T23</f>
        <v>1.348907056</v>
      </c>
      <c r="V23" s="2" t="n">
        <f aca="false">B23*C23</f>
        <v>-4.302256</v>
      </c>
    </row>
    <row r="24" customFormat="false" ht="15" hidden="false" customHeight="false" outlineLevel="0" collapsed="false">
      <c r="A24" s="2" t="n">
        <v>179.23</v>
      </c>
      <c r="B24" s="2" t="n">
        <v>11.983</v>
      </c>
      <c r="C24" s="2" t="n">
        <v>-0.359</v>
      </c>
      <c r="D24" s="2" t="n">
        <v>5.789</v>
      </c>
      <c r="E24" s="2" t="n">
        <v>0</v>
      </c>
      <c r="F24" s="2" t="n">
        <v>76</v>
      </c>
      <c r="G24" s="2" t="n">
        <v>400</v>
      </c>
      <c r="H24" s="2" t="n">
        <v>124</v>
      </c>
      <c r="I24" s="2" t="n">
        <v>400</v>
      </c>
      <c r="J24" s="2"/>
      <c r="K24" s="2" t="n">
        <v>1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1</v>
      </c>
      <c r="Q24" s="2" t="n">
        <v>1</v>
      </c>
      <c r="R24" s="2" t="n">
        <v>0</v>
      </c>
      <c r="S24" s="2" t="n">
        <f aca="false">A25-A24</f>
        <v>0.210000000000008</v>
      </c>
      <c r="T24" s="2" t="n">
        <f aca="false">C24+Summary!$C$8*D24</f>
        <v>0.1128035</v>
      </c>
      <c r="U24" s="2" t="n">
        <f aca="false">B24*T24</f>
        <v>1.3517243405</v>
      </c>
      <c r="V24" s="2" t="n">
        <f aca="false">B24*C24</f>
        <v>-4.301897</v>
      </c>
    </row>
    <row r="25" customFormat="false" ht="15" hidden="false" customHeight="false" outlineLevel="0" collapsed="false">
      <c r="A25" s="2" t="n">
        <v>179.44</v>
      </c>
      <c r="B25" s="2" t="n">
        <v>11.953</v>
      </c>
      <c r="C25" s="2" t="n">
        <v>-0.27</v>
      </c>
      <c r="D25" s="2" t="n">
        <v>5.779</v>
      </c>
      <c r="E25" s="2" t="n">
        <v>0</v>
      </c>
      <c r="F25" s="2" t="n">
        <v>76</v>
      </c>
      <c r="G25" s="2" t="n">
        <v>400</v>
      </c>
      <c r="H25" s="2" t="n">
        <v>125</v>
      </c>
      <c r="I25" s="2" t="n">
        <v>400</v>
      </c>
      <c r="J25" s="2"/>
      <c r="K25" s="2" t="n">
        <v>1</v>
      </c>
      <c r="L25" s="2" t="n">
        <v>1</v>
      </c>
      <c r="M25" s="2" t="n">
        <v>0</v>
      </c>
      <c r="N25" s="2" t="n">
        <v>0</v>
      </c>
      <c r="O25" s="2" t="n">
        <v>0</v>
      </c>
      <c r="P25" s="2" t="n">
        <v>1</v>
      </c>
      <c r="Q25" s="2" t="n">
        <v>1</v>
      </c>
      <c r="R25" s="2" t="n">
        <v>0</v>
      </c>
      <c r="S25" s="2" t="n">
        <f aca="false">A26-A25</f>
        <v>0.199999999999989</v>
      </c>
      <c r="T25" s="2" t="n">
        <f aca="false">C25+Summary!$C$8*D25</f>
        <v>0.2009885</v>
      </c>
      <c r="U25" s="2" t="n">
        <f aca="false">B25*T25</f>
        <v>2.4024155405</v>
      </c>
      <c r="V25" s="2" t="n">
        <f aca="false">B25*C25</f>
        <v>-3.22731</v>
      </c>
    </row>
    <row r="26" customFormat="false" ht="15" hidden="false" customHeight="false" outlineLevel="0" collapsed="false">
      <c r="A26" s="2" t="n">
        <v>179.64</v>
      </c>
      <c r="B26" s="2" t="n">
        <v>11.946</v>
      </c>
      <c r="C26" s="2" t="n">
        <v>-0.256</v>
      </c>
      <c r="D26" s="2" t="n">
        <v>5.764</v>
      </c>
      <c r="E26" s="2" t="n">
        <v>0</v>
      </c>
      <c r="F26" s="2" t="n">
        <v>76</v>
      </c>
      <c r="G26" s="2" t="n">
        <v>400</v>
      </c>
      <c r="H26" s="2" t="n">
        <v>28</v>
      </c>
      <c r="I26" s="2" t="n">
        <v>400</v>
      </c>
      <c r="J26" s="2"/>
      <c r="K26" s="2" t="n">
        <v>1</v>
      </c>
      <c r="L26" s="2" t="n">
        <v>1</v>
      </c>
      <c r="M26" s="2" t="n">
        <v>0</v>
      </c>
      <c r="N26" s="2" t="n">
        <v>0</v>
      </c>
      <c r="O26" s="2" t="n">
        <v>0</v>
      </c>
      <c r="P26" s="2" t="n">
        <v>1</v>
      </c>
      <c r="Q26" s="2" t="n">
        <v>1</v>
      </c>
      <c r="R26" s="2" t="n">
        <v>0</v>
      </c>
      <c r="S26" s="2" t="n">
        <f aca="false">A27-A26</f>
        <v>0.200000000000017</v>
      </c>
      <c r="T26" s="2" t="n">
        <f aca="false">C26+Summary!$C$8*D26</f>
        <v>0.213766</v>
      </c>
      <c r="U26" s="2" t="n">
        <f aca="false">B26*T26</f>
        <v>2.553648636</v>
      </c>
      <c r="V26" s="2" t="n">
        <f aca="false">B26*C26</f>
        <v>-3.058176</v>
      </c>
    </row>
    <row r="27" customFormat="false" ht="15" hidden="false" customHeight="false" outlineLevel="0" collapsed="false">
      <c r="A27" s="2" t="n">
        <v>179.84</v>
      </c>
      <c r="B27" s="2" t="n">
        <v>11.946</v>
      </c>
      <c r="C27" s="2" t="n">
        <v>-0.252</v>
      </c>
      <c r="D27" s="2" t="n">
        <v>5.763</v>
      </c>
      <c r="E27" s="2" t="n">
        <v>0</v>
      </c>
      <c r="F27" s="2" t="n">
        <v>76</v>
      </c>
      <c r="G27" s="2" t="n">
        <v>400</v>
      </c>
      <c r="H27" s="2" t="n">
        <v>29</v>
      </c>
      <c r="I27" s="2" t="n">
        <v>400</v>
      </c>
      <c r="J27" s="2"/>
      <c r="K27" s="2" t="n">
        <v>1</v>
      </c>
      <c r="L27" s="2" t="n">
        <v>1</v>
      </c>
      <c r="M27" s="2" t="n">
        <v>0</v>
      </c>
      <c r="N27" s="2" t="n">
        <v>0</v>
      </c>
      <c r="O27" s="2" t="n">
        <v>0</v>
      </c>
      <c r="P27" s="2" t="n">
        <v>1</v>
      </c>
      <c r="Q27" s="2" t="n">
        <v>1</v>
      </c>
      <c r="R27" s="2" t="n">
        <v>0</v>
      </c>
      <c r="S27" s="2" t="n">
        <f aca="false">A28-A27</f>
        <v>0.199999999999989</v>
      </c>
      <c r="T27" s="2" t="n">
        <f aca="false">C27+Summary!$C$8*D27</f>
        <v>0.2176845</v>
      </c>
      <c r="U27" s="2" t="n">
        <f aca="false">B27*T27</f>
        <v>2.600459037</v>
      </c>
      <c r="V27" s="2" t="n">
        <f aca="false">B27*C27</f>
        <v>-3.010392</v>
      </c>
    </row>
    <row r="28" customFormat="false" ht="15" hidden="false" customHeight="false" outlineLevel="0" collapsed="false">
      <c r="A28" s="2" t="n">
        <v>180.04</v>
      </c>
      <c r="B28" s="2" t="n">
        <v>11.939</v>
      </c>
      <c r="C28" s="2" t="n">
        <v>-0.238</v>
      </c>
      <c r="D28" s="2" t="n">
        <v>5.752</v>
      </c>
      <c r="E28" s="2" t="n">
        <v>0</v>
      </c>
      <c r="F28" s="2" t="n">
        <v>76</v>
      </c>
      <c r="G28" s="2" t="n">
        <v>400</v>
      </c>
      <c r="H28" s="2" t="n">
        <v>28</v>
      </c>
      <c r="I28" s="2" t="n">
        <v>400</v>
      </c>
      <c r="J28" s="2"/>
      <c r="K28" s="2" t="n">
        <v>1</v>
      </c>
      <c r="L28" s="2" t="n">
        <v>1</v>
      </c>
      <c r="M28" s="2" t="n">
        <v>0</v>
      </c>
      <c r="N28" s="2" t="n">
        <v>0</v>
      </c>
      <c r="O28" s="2" t="n">
        <v>0</v>
      </c>
      <c r="P28" s="2" t="n">
        <v>1</v>
      </c>
      <c r="Q28" s="2" t="n">
        <v>1</v>
      </c>
      <c r="R28" s="2" t="n">
        <v>0</v>
      </c>
      <c r="S28" s="2" t="n">
        <f aca="false">A29-A28</f>
        <v>0.200000000000017</v>
      </c>
      <c r="T28" s="2" t="n">
        <f aca="false">C28+Summary!$C$8*D28</f>
        <v>0.230788</v>
      </c>
      <c r="U28" s="2" t="n">
        <f aca="false">B28*T28</f>
        <v>2.755377932</v>
      </c>
      <c r="V28" s="2" t="n">
        <f aca="false">B28*C28</f>
        <v>-2.841482</v>
      </c>
    </row>
    <row r="29" customFormat="false" ht="15" hidden="false" customHeight="false" outlineLevel="0" collapsed="false">
      <c r="A29" s="2" t="n">
        <v>180.24</v>
      </c>
      <c r="B29" s="2" t="n">
        <v>11.967</v>
      </c>
      <c r="C29" s="2" t="n">
        <v>-0.351</v>
      </c>
      <c r="D29" s="2" t="n">
        <v>5.748</v>
      </c>
      <c r="E29" s="2" t="n">
        <v>0</v>
      </c>
      <c r="F29" s="2" t="n">
        <v>76</v>
      </c>
      <c r="G29" s="2" t="n">
        <v>400</v>
      </c>
      <c r="H29" s="2" t="n">
        <v>29</v>
      </c>
      <c r="I29" s="2" t="n">
        <v>400</v>
      </c>
      <c r="J29" s="2"/>
      <c r="K29" s="2" t="n">
        <v>1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</v>
      </c>
      <c r="Q29" s="2" t="n">
        <v>1</v>
      </c>
      <c r="R29" s="2" t="n">
        <v>0</v>
      </c>
      <c r="S29" s="2" t="n">
        <f aca="false">A30-A29</f>
        <v>0.199999999999989</v>
      </c>
      <c r="T29" s="2" t="n">
        <f aca="false">C29+Summary!$C$8*D29</f>
        <v>0.117462</v>
      </c>
      <c r="U29" s="2" t="n">
        <f aca="false">B29*T29</f>
        <v>1.405667754</v>
      </c>
      <c r="V29" s="2" t="n">
        <f aca="false">B29*C29</f>
        <v>-4.200417</v>
      </c>
    </row>
    <row r="30" customFormat="false" ht="15" hidden="false" customHeight="false" outlineLevel="0" collapsed="false">
      <c r="A30" s="2" t="n">
        <v>180.44</v>
      </c>
      <c r="B30" s="2" t="n">
        <v>11.98</v>
      </c>
      <c r="C30" s="2" t="n">
        <v>-0.356</v>
      </c>
      <c r="D30" s="2" t="n">
        <v>5.747</v>
      </c>
      <c r="E30" s="2" t="n">
        <v>0</v>
      </c>
      <c r="F30" s="2" t="n">
        <v>76</v>
      </c>
      <c r="G30" s="2" t="n">
        <v>400</v>
      </c>
      <c r="H30" s="2" t="n">
        <v>125</v>
      </c>
      <c r="I30" s="2" t="n">
        <v>400</v>
      </c>
      <c r="J30" s="2"/>
      <c r="K30" s="2" t="n">
        <v>1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1</v>
      </c>
      <c r="Q30" s="2" t="n">
        <v>1</v>
      </c>
      <c r="R30" s="2" t="n">
        <v>0</v>
      </c>
      <c r="S30" s="2" t="n">
        <f aca="false">A31-A30</f>
        <v>0.199999999999989</v>
      </c>
      <c r="T30" s="2" t="n">
        <f aca="false">C30+Summary!$C$8*D30</f>
        <v>0.1123805</v>
      </c>
      <c r="U30" s="2" t="n">
        <f aca="false">B30*T30</f>
        <v>1.34631839</v>
      </c>
      <c r="V30" s="2" t="n">
        <f aca="false">B30*C30</f>
        <v>-4.26488</v>
      </c>
    </row>
    <row r="31" customFormat="false" ht="15" hidden="false" customHeight="false" outlineLevel="0" collapsed="false">
      <c r="A31" s="2" t="n">
        <v>180.64</v>
      </c>
      <c r="B31" s="2" t="n">
        <v>11.984</v>
      </c>
      <c r="C31" s="2" t="n">
        <v>-0.356</v>
      </c>
      <c r="D31" s="2" t="n">
        <v>5.75</v>
      </c>
      <c r="E31" s="2" t="n">
        <v>0</v>
      </c>
      <c r="F31" s="2" t="n">
        <v>76</v>
      </c>
      <c r="G31" s="2" t="n">
        <v>400</v>
      </c>
      <c r="H31" s="2" t="n">
        <v>124</v>
      </c>
      <c r="I31" s="2" t="n">
        <v>400</v>
      </c>
      <c r="J31" s="2"/>
      <c r="K31" s="2" t="n">
        <v>1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</v>
      </c>
      <c r="Q31" s="2" t="n">
        <v>1</v>
      </c>
      <c r="R31" s="2" t="n">
        <v>0</v>
      </c>
      <c r="S31" s="2" t="n">
        <f aca="false">A32-A31</f>
        <v>0.200000000000017</v>
      </c>
      <c r="T31" s="2" t="n">
        <f aca="false">C31+Summary!$C$8*D31</f>
        <v>0.112625</v>
      </c>
      <c r="U31" s="2" t="n">
        <f aca="false">B31*T31</f>
        <v>1.349698</v>
      </c>
      <c r="V31" s="2" t="n">
        <f aca="false">B31*C31</f>
        <v>-4.266304</v>
      </c>
    </row>
    <row r="32" customFormat="false" ht="15" hidden="false" customHeight="false" outlineLevel="0" collapsed="false">
      <c r="A32" s="2" t="n">
        <v>180.84</v>
      </c>
      <c r="B32" s="2" t="n">
        <v>11.98</v>
      </c>
      <c r="C32" s="2" t="n">
        <v>-0.355</v>
      </c>
      <c r="D32" s="2" t="n">
        <v>5.737</v>
      </c>
      <c r="E32" s="2" t="n">
        <v>0</v>
      </c>
      <c r="F32" s="2" t="n">
        <v>76</v>
      </c>
      <c r="G32" s="2" t="n">
        <v>400</v>
      </c>
      <c r="H32" s="2" t="n">
        <v>124</v>
      </c>
      <c r="I32" s="2" t="n">
        <v>400</v>
      </c>
      <c r="J32" s="2"/>
      <c r="K32" s="2" t="n">
        <v>1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1</v>
      </c>
      <c r="Q32" s="2" t="n">
        <v>1</v>
      </c>
      <c r="R32" s="2" t="n">
        <v>0</v>
      </c>
      <c r="S32" s="2" t="n">
        <f aca="false">A33-A32</f>
        <v>0.199999999999989</v>
      </c>
      <c r="T32" s="2" t="n">
        <f aca="false">C32+Summary!$C$8*D32</f>
        <v>0.1125655</v>
      </c>
      <c r="U32" s="2" t="n">
        <f aca="false">B32*T32</f>
        <v>1.34853469</v>
      </c>
      <c r="V32" s="2" t="n">
        <f aca="false">B32*C32</f>
        <v>-4.2529</v>
      </c>
    </row>
    <row r="33" customFormat="false" ht="15" hidden="false" customHeight="false" outlineLevel="0" collapsed="false">
      <c r="A33" s="2" t="n">
        <v>181.04</v>
      </c>
      <c r="B33" s="2" t="n">
        <v>11.984</v>
      </c>
      <c r="C33" s="2" t="n">
        <v>-0.355</v>
      </c>
      <c r="D33" s="2" t="n">
        <v>5.731</v>
      </c>
      <c r="E33" s="2" t="n">
        <v>0</v>
      </c>
      <c r="F33" s="2" t="n">
        <v>76</v>
      </c>
      <c r="G33" s="2" t="n">
        <v>400</v>
      </c>
      <c r="H33" s="2" t="n">
        <v>127</v>
      </c>
      <c r="I33" s="2" t="n">
        <v>400</v>
      </c>
      <c r="J33" s="2"/>
      <c r="K33" s="2" t="n">
        <v>1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1</v>
      </c>
      <c r="R33" s="2" t="n">
        <v>0</v>
      </c>
      <c r="S33" s="2" t="n">
        <f aca="false">A34-A33</f>
        <v>0.200000000000017</v>
      </c>
      <c r="T33" s="2" t="n">
        <f aca="false">C33+Summary!$C$8*D33</f>
        <v>0.1120765</v>
      </c>
      <c r="U33" s="2" t="n">
        <f aca="false">B33*T33</f>
        <v>1.343124776</v>
      </c>
      <c r="V33" s="2" t="n">
        <f aca="false">B33*C33</f>
        <v>-4.25432</v>
      </c>
    </row>
    <row r="34" customFormat="false" ht="15" hidden="false" customHeight="false" outlineLevel="0" collapsed="false">
      <c r="A34" s="2" t="n">
        <v>181.24</v>
      </c>
      <c r="B34" s="2" t="n">
        <v>11.98</v>
      </c>
      <c r="C34" s="2" t="n">
        <v>-0.354</v>
      </c>
      <c r="D34" s="2" t="n">
        <v>5.716</v>
      </c>
      <c r="E34" s="2" t="n">
        <v>0</v>
      </c>
      <c r="F34" s="2" t="n">
        <v>76</v>
      </c>
      <c r="G34" s="2" t="n">
        <v>400</v>
      </c>
      <c r="H34" s="2" t="n">
        <v>38</v>
      </c>
      <c r="I34" s="2" t="n">
        <v>400</v>
      </c>
      <c r="J34" s="2"/>
      <c r="K34" s="2" t="n">
        <v>1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1</v>
      </c>
      <c r="R34" s="2" t="n">
        <v>0</v>
      </c>
      <c r="S34" s="2" t="n">
        <f aca="false">A35-A34</f>
        <v>0.199999999999989</v>
      </c>
      <c r="T34" s="2" t="n">
        <f aca="false">C34+Summary!$C$8*D34</f>
        <v>0.111854</v>
      </c>
      <c r="U34" s="2" t="n">
        <f aca="false">B34*T34</f>
        <v>1.34001092</v>
      </c>
      <c r="V34" s="2" t="n">
        <f aca="false">B34*C34</f>
        <v>-4.24092</v>
      </c>
    </row>
    <row r="35" customFormat="false" ht="15" hidden="false" customHeight="false" outlineLevel="0" collapsed="false">
      <c r="A35" s="2" t="n">
        <v>181.44</v>
      </c>
      <c r="B35" s="2" t="n">
        <v>11.984</v>
      </c>
      <c r="C35" s="2" t="n">
        <v>-0.354</v>
      </c>
      <c r="D35" s="2" t="n">
        <v>5.721</v>
      </c>
      <c r="E35" s="2" t="n">
        <v>0</v>
      </c>
      <c r="F35" s="2" t="n">
        <v>76</v>
      </c>
      <c r="G35" s="2" t="n">
        <v>400</v>
      </c>
      <c r="H35" s="2" t="n">
        <v>37</v>
      </c>
      <c r="I35" s="2" t="n">
        <v>400</v>
      </c>
      <c r="J35" s="2"/>
      <c r="K35" s="2" t="n">
        <v>1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1</v>
      </c>
      <c r="Q35" s="2" t="n">
        <v>1</v>
      </c>
      <c r="R35" s="2" t="n">
        <v>0</v>
      </c>
      <c r="S35" s="2" t="n">
        <f aca="false">A36-A35</f>
        <v>0.199999999999989</v>
      </c>
      <c r="T35" s="2" t="n">
        <f aca="false">C35+Summary!$C$8*D35</f>
        <v>0.1122615</v>
      </c>
      <c r="U35" s="2" t="n">
        <f aca="false">B35*T35</f>
        <v>1.345341816</v>
      </c>
      <c r="V35" s="2" t="n">
        <f aca="false">B35*C35</f>
        <v>-4.242336</v>
      </c>
    </row>
    <row r="36" customFormat="false" ht="15" hidden="false" customHeight="false" outlineLevel="0" collapsed="false">
      <c r="A36" s="2" t="n">
        <v>181.64</v>
      </c>
      <c r="B36" s="2" t="n">
        <v>11.951</v>
      </c>
      <c r="C36" s="2" t="n">
        <v>-0.249</v>
      </c>
      <c r="D36" s="2" t="n">
        <v>5.71</v>
      </c>
      <c r="E36" s="2" t="n">
        <v>0</v>
      </c>
      <c r="F36" s="2" t="n">
        <v>76</v>
      </c>
      <c r="G36" s="2" t="n">
        <v>400</v>
      </c>
      <c r="H36" s="2" t="n">
        <v>124</v>
      </c>
      <c r="I36" s="2" t="n">
        <v>400</v>
      </c>
      <c r="J36" s="2"/>
      <c r="K36" s="2" t="n">
        <v>1</v>
      </c>
      <c r="L36" s="2" t="n">
        <v>1</v>
      </c>
      <c r="M36" s="2" t="n">
        <v>0</v>
      </c>
      <c r="N36" s="2" t="n">
        <v>0</v>
      </c>
      <c r="O36" s="2" t="n">
        <v>0</v>
      </c>
      <c r="P36" s="2" t="n">
        <v>1</v>
      </c>
      <c r="Q36" s="2" t="n">
        <v>1</v>
      </c>
      <c r="R36" s="2" t="n">
        <v>0</v>
      </c>
      <c r="S36" s="2" t="n">
        <f aca="false">A37-A36</f>
        <v>0.200000000000017</v>
      </c>
      <c r="T36" s="2" t="n">
        <f aca="false">C36+Summary!$C$8*D36</f>
        <v>0.216365</v>
      </c>
      <c r="U36" s="2" t="n">
        <f aca="false">B36*T36</f>
        <v>2.585778115</v>
      </c>
      <c r="V36" s="2" t="n">
        <f aca="false">B36*C36</f>
        <v>-2.975799</v>
      </c>
      <c r="W36" s="2" t="s">
        <v>64</v>
      </c>
      <c r="X36" s="2" t="s">
        <v>10</v>
      </c>
    </row>
    <row r="37" customFormat="false" ht="15" hidden="false" customHeight="false" outlineLevel="0" collapsed="false">
      <c r="A37" s="2" t="n">
        <v>181.84</v>
      </c>
      <c r="B37" s="2" t="n">
        <v>11.819</v>
      </c>
      <c r="C37" s="2" t="n">
        <v>0.165</v>
      </c>
      <c r="D37" s="2" t="n">
        <v>5.657</v>
      </c>
      <c r="E37" s="2" t="n">
        <v>0</v>
      </c>
      <c r="F37" s="2" t="n">
        <v>76</v>
      </c>
      <c r="G37" s="2" t="n">
        <v>400</v>
      </c>
      <c r="H37" s="2" t="n">
        <v>29</v>
      </c>
      <c r="I37" s="2" t="n">
        <v>400</v>
      </c>
      <c r="J37" s="2"/>
      <c r="K37" s="2" t="n">
        <v>1</v>
      </c>
      <c r="L37" s="2" t="n">
        <v>1</v>
      </c>
      <c r="M37" s="2" t="n">
        <v>0</v>
      </c>
      <c r="N37" s="2" t="n">
        <v>0</v>
      </c>
      <c r="O37" s="2" t="n">
        <v>0</v>
      </c>
      <c r="P37" s="2" t="n">
        <v>1</v>
      </c>
      <c r="Q37" s="2" t="n">
        <v>1</v>
      </c>
      <c r="R37" s="2" t="n">
        <v>0</v>
      </c>
      <c r="S37" s="2" t="n">
        <f aca="false">A38-A37</f>
        <v>0.199999999999989</v>
      </c>
      <c r="T37" s="2" t="n">
        <f aca="false">C37+Summary!$C$8*D37</f>
        <v>0.6260455</v>
      </c>
      <c r="U37" s="2" t="n">
        <f aca="false">B37*T37</f>
        <v>7.3992317645</v>
      </c>
      <c r="V37" s="2" t="n">
        <f aca="false">B37*C37</f>
        <v>1.950135</v>
      </c>
      <c r="W37" s="2" t="s">
        <v>64</v>
      </c>
      <c r="X37" s="2" t="s">
        <v>10</v>
      </c>
    </row>
    <row r="38" customFormat="false" ht="15" hidden="false" customHeight="false" outlineLevel="0" collapsed="false">
      <c r="A38" s="2" t="n">
        <v>182.04</v>
      </c>
      <c r="B38" s="2" t="n">
        <v>11.819</v>
      </c>
      <c r="C38" s="2" t="n">
        <v>0.105</v>
      </c>
      <c r="D38" s="2" t="n">
        <v>5.646</v>
      </c>
      <c r="E38" s="2" t="n">
        <v>0</v>
      </c>
      <c r="F38" s="2" t="n">
        <v>76</v>
      </c>
      <c r="G38" s="2" t="n">
        <v>400</v>
      </c>
      <c r="H38" s="2" t="n">
        <v>122</v>
      </c>
      <c r="I38" s="2" t="n">
        <v>28</v>
      </c>
      <c r="J38" s="2"/>
      <c r="K38" s="2" t="n">
        <v>1</v>
      </c>
      <c r="L38" s="2" t="n">
        <v>1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1</v>
      </c>
      <c r="R38" s="2" t="n">
        <v>0</v>
      </c>
      <c r="S38" s="2" t="n">
        <f aca="false">A39-A38</f>
        <v>0.200000000000017</v>
      </c>
      <c r="T38" s="2" t="n">
        <f aca="false">C38+Summary!$C$8*D38</f>
        <v>0.565149</v>
      </c>
      <c r="U38" s="2" t="n">
        <f aca="false">B38*T38</f>
        <v>6.679496031</v>
      </c>
      <c r="V38" s="2" t="n">
        <f aca="false">B38*C38</f>
        <v>1.240995</v>
      </c>
      <c r="W38" s="2" t="s">
        <v>64</v>
      </c>
      <c r="X38" s="2" t="s">
        <v>10</v>
      </c>
    </row>
    <row r="39" customFormat="false" ht="15" hidden="false" customHeight="false" outlineLevel="0" collapsed="false">
      <c r="A39" s="2" t="n">
        <v>182.24</v>
      </c>
      <c r="B39" s="2" t="n">
        <v>11.879</v>
      </c>
      <c r="C39" s="2" t="n">
        <v>-0.051</v>
      </c>
      <c r="D39" s="2" t="n">
        <v>5.654</v>
      </c>
      <c r="E39" s="2" t="n">
        <v>0</v>
      </c>
      <c r="F39" s="2" t="n">
        <v>76</v>
      </c>
      <c r="G39" s="2" t="n">
        <v>400</v>
      </c>
      <c r="H39" s="2" t="n">
        <v>69</v>
      </c>
      <c r="I39" s="2" t="n">
        <v>400</v>
      </c>
      <c r="J39" s="2"/>
      <c r="K39" s="2" t="n">
        <v>1</v>
      </c>
      <c r="L39" s="2" t="n">
        <v>1</v>
      </c>
      <c r="M39" s="2" t="n">
        <v>0</v>
      </c>
      <c r="N39" s="2" t="n">
        <v>0</v>
      </c>
      <c r="O39" s="2" t="n">
        <v>0</v>
      </c>
      <c r="P39" s="2" t="n">
        <v>1</v>
      </c>
      <c r="Q39" s="2" t="n">
        <v>1</v>
      </c>
      <c r="R39" s="2" t="n">
        <v>0</v>
      </c>
      <c r="S39" s="2" t="n">
        <f aca="false">A40-A39</f>
        <v>0.199999999999989</v>
      </c>
      <c r="T39" s="2" t="n">
        <f aca="false">C39+Summary!$C$8*D39</f>
        <v>0.409801</v>
      </c>
      <c r="U39" s="2" t="n">
        <f aca="false">B39*T39</f>
        <v>4.868026079</v>
      </c>
      <c r="V39" s="2" t="n">
        <f aca="false">B39*C39</f>
        <v>-0.605829</v>
      </c>
      <c r="W39" s="2" t="s">
        <v>64</v>
      </c>
      <c r="X39" s="2" t="s">
        <v>10</v>
      </c>
    </row>
    <row r="40" customFormat="false" ht="15" hidden="false" customHeight="false" outlineLevel="0" collapsed="false">
      <c r="A40" s="2" t="n">
        <v>182.44</v>
      </c>
      <c r="B40" s="2" t="n">
        <v>11.91</v>
      </c>
      <c r="C40" s="2" t="n">
        <v>-0.154</v>
      </c>
      <c r="D40" s="2" t="n">
        <v>5.615</v>
      </c>
      <c r="E40" s="2" t="n">
        <v>0.095</v>
      </c>
      <c r="F40" s="2" t="n">
        <v>76</v>
      </c>
      <c r="G40" s="2" t="n">
        <v>400</v>
      </c>
      <c r="H40" s="2" t="n">
        <v>17</v>
      </c>
      <c r="I40" s="2" t="n">
        <v>400</v>
      </c>
      <c r="J40" s="2"/>
      <c r="K40" s="2" t="n">
        <v>1</v>
      </c>
      <c r="L40" s="2" t="n">
        <v>1</v>
      </c>
      <c r="M40" s="2" t="n">
        <v>0</v>
      </c>
      <c r="N40" s="2" t="n">
        <v>0</v>
      </c>
      <c r="O40" s="2" t="n">
        <v>0</v>
      </c>
      <c r="P40" s="2" t="n">
        <v>1</v>
      </c>
      <c r="Q40" s="2" t="n">
        <v>1</v>
      </c>
      <c r="R40" s="2" t="n">
        <v>0</v>
      </c>
      <c r="S40" s="2" t="n">
        <f aca="false">A41-A40</f>
        <v>0.199999999999989</v>
      </c>
      <c r="T40" s="2" t="n">
        <f aca="false">C40+Summary!$C$8*D40</f>
        <v>0.3036225</v>
      </c>
      <c r="U40" s="2" t="n">
        <f aca="false">B40*T40</f>
        <v>3.616143975</v>
      </c>
      <c r="V40" s="2" t="n">
        <f aca="false">B40*C40</f>
        <v>-1.83414</v>
      </c>
      <c r="W40" s="2" t="s">
        <v>64</v>
      </c>
      <c r="X40" s="2" t="s">
        <v>10</v>
      </c>
    </row>
    <row r="41" customFormat="false" ht="15" hidden="false" customHeight="false" outlineLevel="0" collapsed="false">
      <c r="A41" s="2" t="n">
        <v>182.64</v>
      </c>
      <c r="B41" s="2" t="n">
        <v>11.844</v>
      </c>
      <c r="C41" s="2" t="n">
        <v>0.063</v>
      </c>
      <c r="D41" s="2" t="n">
        <v>5.535</v>
      </c>
      <c r="E41" s="2" t="n">
        <v>0.136</v>
      </c>
      <c r="F41" s="2" t="n">
        <v>76</v>
      </c>
      <c r="G41" s="2" t="n">
        <v>400</v>
      </c>
      <c r="H41" s="2" t="n">
        <v>108</v>
      </c>
      <c r="I41" s="2" t="n">
        <v>400</v>
      </c>
      <c r="J41" s="2"/>
      <c r="K41" s="2" t="n">
        <v>1</v>
      </c>
      <c r="L41" s="2" t="n">
        <v>1</v>
      </c>
      <c r="M41" s="2" t="n">
        <v>0</v>
      </c>
      <c r="N41" s="2" t="n">
        <v>0</v>
      </c>
      <c r="O41" s="2" t="n">
        <v>0</v>
      </c>
      <c r="P41" s="2" t="n">
        <v>1</v>
      </c>
      <c r="Q41" s="2" t="n">
        <v>1</v>
      </c>
      <c r="R41" s="2" t="n">
        <v>0</v>
      </c>
      <c r="S41" s="2" t="n">
        <f aca="false">A42-A41</f>
        <v>0.200000000000017</v>
      </c>
      <c r="T41" s="2" t="n">
        <f aca="false">C41+Summary!$C$8*D41</f>
        <v>0.5141025</v>
      </c>
      <c r="U41" s="2" t="n">
        <f aca="false">B41*T41</f>
        <v>6.08903001</v>
      </c>
      <c r="V41" s="2" t="n">
        <f aca="false">B41*C41</f>
        <v>0.746172</v>
      </c>
      <c r="W41" s="2" t="s">
        <v>64</v>
      </c>
      <c r="X41" s="2" t="s">
        <v>10</v>
      </c>
    </row>
    <row r="42" customFormat="false" ht="15" hidden="false" customHeight="false" outlineLevel="0" collapsed="false">
      <c r="A42" s="2" t="n">
        <v>182.84</v>
      </c>
      <c r="B42" s="2" t="n">
        <v>11.851</v>
      </c>
      <c r="C42" s="2" t="n">
        <v>0.059</v>
      </c>
      <c r="D42" s="2" t="n">
        <v>5.523</v>
      </c>
      <c r="E42" s="2" t="n">
        <v>0.027</v>
      </c>
      <c r="F42" s="2" t="n">
        <v>76</v>
      </c>
      <c r="G42" s="2" t="n">
        <v>400</v>
      </c>
      <c r="H42" s="2" t="n">
        <v>45</v>
      </c>
      <c r="I42" s="2" t="n">
        <v>18</v>
      </c>
      <c r="J42" s="2"/>
      <c r="K42" s="2" t="n">
        <v>1</v>
      </c>
      <c r="L42" s="2" t="n">
        <v>1</v>
      </c>
      <c r="M42" s="2" t="n">
        <v>0</v>
      </c>
      <c r="N42" s="2" t="n">
        <v>0</v>
      </c>
      <c r="O42" s="2" t="n">
        <v>0</v>
      </c>
      <c r="P42" s="2" t="n">
        <v>1</v>
      </c>
      <c r="Q42" s="2" t="n">
        <v>1</v>
      </c>
      <c r="R42" s="2" t="n">
        <v>0</v>
      </c>
      <c r="S42" s="2" t="n">
        <f aca="false">A43-A42</f>
        <v>0.199999999999989</v>
      </c>
      <c r="T42" s="2" t="n">
        <f aca="false">C42+Summary!$C$8*D42</f>
        <v>0.5091245</v>
      </c>
      <c r="U42" s="2" t="n">
        <f aca="false">B42*T42</f>
        <v>6.0336344495</v>
      </c>
      <c r="V42" s="2" t="n">
        <f aca="false">B42*C42</f>
        <v>0.699209</v>
      </c>
      <c r="W42" s="2" t="s">
        <v>64</v>
      </c>
      <c r="X42" s="2" t="s">
        <v>10</v>
      </c>
    </row>
    <row r="43" customFormat="false" ht="15" hidden="false" customHeight="false" outlineLevel="0" collapsed="false">
      <c r="A43" s="2" t="n">
        <v>183.04</v>
      </c>
      <c r="B43" s="2" t="n">
        <v>11.836</v>
      </c>
      <c r="C43" s="2" t="n">
        <v>0.08</v>
      </c>
      <c r="D43" s="2" t="n">
        <v>5.479</v>
      </c>
      <c r="E43" s="2" t="n">
        <v>0.027</v>
      </c>
      <c r="F43" s="2" t="n">
        <v>76</v>
      </c>
      <c r="G43" s="2" t="n">
        <v>22</v>
      </c>
      <c r="H43" s="2" t="n">
        <v>26</v>
      </c>
      <c r="I43" s="2" t="n">
        <v>18</v>
      </c>
      <c r="J43" s="2"/>
      <c r="K43" s="2" t="n">
        <v>1</v>
      </c>
      <c r="L43" s="2" t="n">
        <v>1</v>
      </c>
      <c r="M43" s="2" t="n">
        <v>0</v>
      </c>
      <c r="N43" s="2" t="n">
        <v>0</v>
      </c>
      <c r="O43" s="2" t="n">
        <v>0</v>
      </c>
      <c r="P43" s="2" t="n">
        <v>1</v>
      </c>
      <c r="Q43" s="2" t="n">
        <v>1</v>
      </c>
      <c r="R43" s="2" t="n">
        <v>0</v>
      </c>
      <c r="S43" s="2" t="n">
        <f aca="false">A44-A43</f>
        <v>0.200000000000017</v>
      </c>
      <c r="T43" s="2" t="n">
        <f aca="false">C43+Summary!$C$8*D43</f>
        <v>0.5265385</v>
      </c>
      <c r="U43" s="2" t="n">
        <f aca="false">B43*T43</f>
        <v>6.232109686</v>
      </c>
      <c r="V43" s="2" t="n">
        <f aca="false">B43*C43</f>
        <v>0.94688</v>
      </c>
      <c r="W43" s="2" t="s">
        <v>64</v>
      </c>
      <c r="X43" s="2" t="s">
        <v>10</v>
      </c>
    </row>
    <row r="44" customFormat="false" ht="15" hidden="false" customHeight="false" outlineLevel="0" collapsed="false">
      <c r="A44" s="2" t="n">
        <v>183.24</v>
      </c>
      <c r="B44" s="2" t="n">
        <v>11.854</v>
      </c>
      <c r="C44" s="2" t="n">
        <v>0.027</v>
      </c>
      <c r="D44" s="2" t="n">
        <v>5.511</v>
      </c>
      <c r="E44" s="2" t="n">
        <v>0</v>
      </c>
      <c r="F44" s="2" t="n">
        <v>76</v>
      </c>
      <c r="G44" s="2" t="n">
        <v>400</v>
      </c>
      <c r="H44" s="2" t="n">
        <v>27</v>
      </c>
      <c r="I44" s="2" t="n">
        <v>400</v>
      </c>
      <c r="J44" s="2"/>
      <c r="K44" s="2" t="n">
        <v>1</v>
      </c>
      <c r="L44" s="2" t="n">
        <v>1</v>
      </c>
      <c r="M44" s="2" t="n">
        <v>0</v>
      </c>
      <c r="N44" s="2" t="n">
        <v>0</v>
      </c>
      <c r="O44" s="2" t="n">
        <v>0</v>
      </c>
      <c r="P44" s="2" t="n">
        <v>1</v>
      </c>
      <c r="Q44" s="2" t="n">
        <v>1</v>
      </c>
      <c r="R44" s="2" t="n">
        <v>0</v>
      </c>
      <c r="S44" s="2" t="n">
        <f aca="false">A45-A44</f>
        <v>0.199999999999989</v>
      </c>
      <c r="T44" s="2" t="n">
        <f aca="false">C44+Summary!$C$8*D44</f>
        <v>0.4761465</v>
      </c>
      <c r="U44" s="2" t="n">
        <f aca="false">B44*T44</f>
        <v>5.644240611</v>
      </c>
      <c r="V44" s="2" t="n">
        <f aca="false">B44*C44</f>
        <v>0.320058</v>
      </c>
      <c r="W44" s="2" t="s">
        <v>64</v>
      </c>
      <c r="X44" s="2" t="s">
        <v>10</v>
      </c>
    </row>
    <row r="45" customFormat="false" ht="15" hidden="false" customHeight="false" outlineLevel="0" collapsed="false">
      <c r="A45" s="2" t="n">
        <v>183.44</v>
      </c>
      <c r="B45" s="2" t="n">
        <v>11.854</v>
      </c>
      <c r="C45" s="2" t="n">
        <v>-0.017</v>
      </c>
      <c r="D45" s="2" t="n">
        <v>5.483</v>
      </c>
      <c r="E45" s="2" t="n">
        <v>0</v>
      </c>
      <c r="F45" s="2" t="n">
        <v>76</v>
      </c>
      <c r="G45" s="2" t="n">
        <v>400</v>
      </c>
      <c r="H45" s="2" t="n">
        <v>22</v>
      </c>
      <c r="I45" s="2" t="n">
        <v>400</v>
      </c>
      <c r="J45" s="2"/>
      <c r="K45" s="2" t="n">
        <v>1</v>
      </c>
      <c r="L45" s="2" t="n">
        <v>1</v>
      </c>
      <c r="M45" s="2" t="n">
        <v>0</v>
      </c>
      <c r="N45" s="2" t="n">
        <v>0</v>
      </c>
      <c r="O45" s="2" t="n">
        <v>0</v>
      </c>
      <c r="P45" s="2" t="n">
        <v>1</v>
      </c>
      <c r="Q45" s="2" t="n">
        <v>1</v>
      </c>
      <c r="R45" s="2" t="n">
        <v>0</v>
      </c>
      <c r="S45" s="2" t="n">
        <f aca="false">A46-A45</f>
        <v>0.199999999999989</v>
      </c>
      <c r="T45" s="2" t="n">
        <f aca="false">C45+Summary!$C$8*D45</f>
        <v>0.4298645</v>
      </c>
      <c r="U45" s="2" t="n">
        <f aca="false">B45*T45</f>
        <v>5.095613783</v>
      </c>
      <c r="V45" s="2" t="n">
        <f aca="false">B45*C45</f>
        <v>-0.201518</v>
      </c>
      <c r="W45" s="2" t="s">
        <v>64</v>
      </c>
      <c r="X45" s="2" t="s">
        <v>10</v>
      </c>
    </row>
    <row r="46" customFormat="false" ht="15" hidden="false" customHeight="false" outlineLevel="0" collapsed="false">
      <c r="A46" s="2" t="n">
        <v>183.64</v>
      </c>
      <c r="B46" s="2" t="n">
        <v>11.845</v>
      </c>
      <c r="C46" s="2" t="n">
        <v>-0.014</v>
      </c>
      <c r="D46" s="2" t="n">
        <v>5.464</v>
      </c>
      <c r="E46" s="2" t="n">
        <v>0.027</v>
      </c>
      <c r="F46" s="2" t="n">
        <v>76</v>
      </c>
      <c r="G46" s="2" t="n">
        <v>400</v>
      </c>
      <c r="H46" s="2" t="n">
        <v>400</v>
      </c>
      <c r="I46" s="2" t="n">
        <v>400</v>
      </c>
      <c r="J46" s="2"/>
      <c r="K46" s="2" t="n">
        <v>1</v>
      </c>
      <c r="L46" s="2" t="n">
        <v>1</v>
      </c>
      <c r="M46" s="2" t="n">
        <v>0</v>
      </c>
      <c r="N46" s="2" t="n">
        <v>0</v>
      </c>
      <c r="O46" s="2" t="n">
        <v>0</v>
      </c>
      <c r="P46" s="2" t="n">
        <v>1</v>
      </c>
      <c r="Q46" s="2" t="n">
        <v>1</v>
      </c>
      <c r="R46" s="2" t="n">
        <v>0</v>
      </c>
      <c r="S46" s="2" t="n">
        <f aca="false">A47-A46</f>
        <v>0.200000000000017</v>
      </c>
      <c r="T46" s="2" t="n">
        <f aca="false">C46+Summary!$C$8*D46</f>
        <v>0.431316</v>
      </c>
      <c r="U46" s="2" t="n">
        <f aca="false">B46*T46</f>
        <v>5.10893802</v>
      </c>
      <c r="V46" s="2" t="n">
        <f aca="false">B46*C46</f>
        <v>-0.16583</v>
      </c>
      <c r="W46" s="2" t="s">
        <v>64</v>
      </c>
      <c r="X46" s="2" t="s">
        <v>10</v>
      </c>
    </row>
    <row r="47" customFormat="false" ht="15" hidden="false" customHeight="false" outlineLevel="0" collapsed="false">
      <c r="A47" s="2" t="n">
        <v>183.84</v>
      </c>
      <c r="B47" s="2" t="n">
        <v>11.899</v>
      </c>
      <c r="C47" s="2" t="n">
        <v>-0.103</v>
      </c>
      <c r="D47" s="2" t="n">
        <v>5.544</v>
      </c>
      <c r="E47" s="2" t="n">
        <v>0</v>
      </c>
      <c r="F47" s="2" t="n">
        <v>76</v>
      </c>
      <c r="G47" s="2" t="n">
        <v>400</v>
      </c>
      <c r="H47" s="2" t="n">
        <v>400</v>
      </c>
      <c r="I47" s="2" t="n">
        <v>400</v>
      </c>
      <c r="J47" s="2"/>
      <c r="K47" s="2" t="n">
        <v>1</v>
      </c>
      <c r="L47" s="2" t="n">
        <v>1</v>
      </c>
      <c r="M47" s="2" t="n">
        <v>0</v>
      </c>
      <c r="N47" s="2" t="n">
        <v>0</v>
      </c>
      <c r="O47" s="2" t="n">
        <v>0</v>
      </c>
      <c r="P47" s="2" t="n">
        <v>1</v>
      </c>
      <c r="Q47" s="2" t="n">
        <v>1</v>
      </c>
      <c r="R47" s="2" t="n">
        <v>0</v>
      </c>
      <c r="S47" s="2" t="n">
        <f aca="false">A48-A47</f>
        <v>0.189999999999998</v>
      </c>
      <c r="T47" s="2" t="n">
        <f aca="false">C47+Summary!$C$8*D47</f>
        <v>0.348836</v>
      </c>
      <c r="U47" s="2" t="n">
        <f aca="false">B47*T47</f>
        <v>4.150799564</v>
      </c>
      <c r="V47" s="2" t="n">
        <f aca="false">B47*C47</f>
        <v>-1.225597</v>
      </c>
      <c r="W47" s="2" t="s">
        <v>64</v>
      </c>
      <c r="X47" s="2" t="s">
        <v>10</v>
      </c>
    </row>
    <row r="48" customFormat="false" ht="15" hidden="false" customHeight="false" outlineLevel="0" collapsed="false">
      <c r="A48" s="2" t="n">
        <v>184.03</v>
      </c>
      <c r="B48" s="2" t="n">
        <v>11.84</v>
      </c>
      <c r="C48" s="2" t="n">
        <v>0.133</v>
      </c>
      <c r="D48" s="2" t="n">
        <v>5.511</v>
      </c>
      <c r="E48" s="2" t="n">
        <v>0</v>
      </c>
      <c r="F48" s="2" t="n">
        <v>76</v>
      </c>
      <c r="G48" s="2" t="n">
        <v>400</v>
      </c>
      <c r="H48" s="2" t="n">
        <v>400</v>
      </c>
      <c r="I48" s="2" t="n">
        <v>400</v>
      </c>
      <c r="J48" s="2"/>
      <c r="K48" s="2" t="n">
        <v>1</v>
      </c>
      <c r="L48" s="2" t="n">
        <v>1</v>
      </c>
      <c r="M48" s="2" t="n">
        <v>0</v>
      </c>
      <c r="N48" s="2" t="n">
        <v>0</v>
      </c>
      <c r="O48" s="2" t="n">
        <v>0</v>
      </c>
      <c r="P48" s="2" t="n">
        <v>1</v>
      </c>
      <c r="Q48" s="2" t="n">
        <v>1</v>
      </c>
      <c r="R48" s="2" t="n">
        <v>0</v>
      </c>
      <c r="S48" s="2" t="n">
        <f aca="false">A49-A48</f>
        <v>0.199999999999989</v>
      </c>
      <c r="T48" s="2" t="n">
        <f aca="false">C48+Summary!$C$8*D48</f>
        <v>0.5821465</v>
      </c>
      <c r="U48" s="2" t="n">
        <f aca="false">B48*T48</f>
        <v>6.89261456</v>
      </c>
      <c r="V48" s="2" t="n">
        <f aca="false">B48*C48</f>
        <v>1.57472</v>
      </c>
      <c r="W48" s="2" t="s">
        <v>64</v>
      </c>
      <c r="X48" s="2" t="s">
        <v>10</v>
      </c>
    </row>
    <row r="49" customFormat="false" ht="15" hidden="false" customHeight="false" outlineLevel="0" collapsed="false">
      <c r="A49" s="2" t="n">
        <v>184.23</v>
      </c>
      <c r="B49" s="2" t="n">
        <v>11.819</v>
      </c>
      <c r="C49" s="2" t="n">
        <v>0.109</v>
      </c>
      <c r="D49" s="2" t="n">
        <v>5.507</v>
      </c>
      <c r="E49" s="2" t="n">
        <v>0</v>
      </c>
      <c r="F49" s="2" t="n">
        <v>76</v>
      </c>
      <c r="G49" s="2" t="n">
        <v>34</v>
      </c>
      <c r="H49" s="2" t="n">
        <v>59</v>
      </c>
      <c r="I49" s="2" t="n">
        <v>400</v>
      </c>
      <c r="J49" s="2"/>
      <c r="K49" s="2" t="n">
        <v>1</v>
      </c>
      <c r="L49" s="2" t="n">
        <v>1</v>
      </c>
      <c r="M49" s="2" t="n">
        <v>0</v>
      </c>
      <c r="N49" s="2" t="n">
        <v>0</v>
      </c>
      <c r="O49" s="2" t="n">
        <v>0</v>
      </c>
      <c r="P49" s="2" t="n">
        <v>1</v>
      </c>
      <c r="Q49" s="2" t="n">
        <v>1</v>
      </c>
      <c r="R49" s="2" t="n">
        <v>0</v>
      </c>
      <c r="S49" s="2" t="n">
        <f aca="false">A50-A49</f>
        <v>0.200000000000017</v>
      </c>
      <c r="T49" s="2" t="n">
        <f aca="false">C49+Summary!$C$8*D49</f>
        <v>0.5578205</v>
      </c>
      <c r="U49" s="2" t="n">
        <f aca="false">B49*T49</f>
        <v>6.5928804895</v>
      </c>
      <c r="V49" s="2" t="n">
        <f aca="false">B49*C49</f>
        <v>1.288271</v>
      </c>
      <c r="W49" s="2" t="s">
        <v>64</v>
      </c>
      <c r="X49" s="2" t="s">
        <v>10</v>
      </c>
    </row>
    <row r="50" customFormat="false" ht="15" hidden="false" customHeight="false" outlineLevel="0" collapsed="false">
      <c r="A50" s="2" t="n">
        <v>184.43</v>
      </c>
      <c r="B50" s="2" t="n">
        <v>11.821</v>
      </c>
      <c r="C50" s="2" t="n">
        <v>0.083</v>
      </c>
      <c r="D50" s="2" t="n">
        <v>5.461</v>
      </c>
      <c r="E50" s="2" t="n">
        <v>0.027</v>
      </c>
      <c r="F50" s="2" t="n">
        <v>76</v>
      </c>
      <c r="G50" s="2" t="n">
        <v>400</v>
      </c>
      <c r="H50" s="2" t="n">
        <v>400</v>
      </c>
      <c r="I50" s="2" t="n">
        <v>42</v>
      </c>
      <c r="J50" s="2"/>
      <c r="K50" s="2" t="n">
        <v>1</v>
      </c>
      <c r="L50" s="2" t="n">
        <v>1</v>
      </c>
      <c r="M50" s="2" t="n">
        <v>0</v>
      </c>
      <c r="N50" s="2" t="n">
        <v>0</v>
      </c>
      <c r="O50" s="2" t="n">
        <v>0</v>
      </c>
      <c r="P50" s="2" t="n">
        <v>1</v>
      </c>
      <c r="Q50" s="2" t="n">
        <v>1</v>
      </c>
      <c r="R50" s="2" t="n">
        <v>0</v>
      </c>
      <c r="S50" s="2" t="n">
        <f aca="false">A51-A50</f>
        <v>0.199999999999989</v>
      </c>
      <c r="T50" s="2" t="n">
        <f aca="false">C50+Summary!$C$8*D50</f>
        <v>0.5280715</v>
      </c>
      <c r="U50" s="2" t="n">
        <f aca="false">B50*T50</f>
        <v>6.2423332015</v>
      </c>
      <c r="V50" s="2" t="n">
        <f aca="false">B50*C50</f>
        <v>0.981143</v>
      </c>
      <c r="W50" s="2" t="s">
        <v>64</v>
      </c>
      <c r="X50" s="2" t="s">
        <v>10</v>
      </c>
    </row>
    <row r="51" customFormat="false" ht="15" hidden="false" customHeight="false" outlineLevel="0" collapsed="false">
      <c r="A51" s="2" t="n">
        <v>184.63</v>
      </c>
      <c r="B51" s="2" t="n">
        <v>11.847</v>
      </c>
      <c r="C51" s="2" t="n">
        <v>0.044</v>
      </c>
      <c r="D51" s="2" t="n">
        <v>5.416</v>
      </c>
      <c r="E51" s="2" t="n">
        <v>0</v>
      </c>
      <c r="F51" s="2" t="n">
        <v>76</v>
      </c>
      <c r="G51" s="2" t="n">
        <v>400</v>
      </c>
      <c r="H51" s="2" t="n">
        <v>400</v>
      </c>
      <c r="I51" s="2" t="n">
        <v>400</v>
      </c>
      <c r="J51" s="2"/>
      <c r="K51" s="2" t="n">
        <v>1</v>
      </c>
      <c r="L51" s="2" t="n">
        <v>1</v>
      </c>
      <c r="M51" s="2" t="n">
        <v>0</v>
      </c>
      <c r="N51" s="2" t="n">
        <v>0</v>
      </c>
      <c r="O51" s="2" t="n">
        <v>0</v>
      </c>
      <c r="P51" s="2" t="n">
        <v>1</v>
      </c>
      <c r="Q51" s="2" t="n">
        <v>1</v>
      </c>
      <c r="R51" s="2" t="n">
        <v>0</v>
      </c>
      <c r="S51" s="2" t="n">
        <f aca="false">A52-A51</f>
        <v>0.200000000000017</v>
      </c>
      <c r="T51" s="2" t="n">
        <f aca="false">C51+Summary!$C$8*D51</f>
        <v>0.485404</v>
      </c>
      <c r="U51" s="2" t="n">
        <f aca="false">B51*T51</f>
        <v>5.750581188</v>
      </c>
      <c r="V51" s="2" t="n">
        <f aca="false">B51*C51</f>
        <v>0.521268</v>
      </c>
      <c r="W51" s="2" t="s">
        <v>64</v>
      </c>
      <c r="X51" s="2" t="s">
        <v>10</v>
      </c>
    </row>
    <row r="52" customFormat="false" ht="15" hidden="false" customHeight="false" outlineLevel="0" collapsed="false">
      <c r="A52" s="2" t="n">
        <v>184.83</v>
      </c>
      <c r="B52" s="2" t="n">
        <v>11.839</v>
      </c>
      <c r="C52" s="2" t="n">
        <v>0.122</v>
      </c>
      <c r="D52" s="2" t="n">
        <v>5.292</v>
      </c>
      <c r="E52" s="2" t="n">
        <v>0</v>
      </c>
      <c r="F52" s="2" t="n">
        <v>76</v>
      </c>
      <c r="G52" s="2" t="n">
        <v>400</v>
      </c>
      <c r="H52" s="2" t="n">
        <v>196</v>
      </c>
      <c r="I52" s="2" t="n">
        <v>40</v>
      </c>
      <c r="J52" s="2"/>
      <c r="K52" s="2" t="n">
        <v>1</v>
      </c>
      <c r="L52" s="2" t="n">
        <v>1</v>
      </c>
      <c r="M52" s="2" t="n">
        <v>0</v>
      </c>
      <c r="N52" s="2" t="n">
        <v>0</v>
      </c>
      <c r="O52" s="2" t="n">
        <v>0</v>
      </c>
      <c r="P52" s="2" t="n">
        <v>1</v>
      </c>
      <c r="Q52" s="2" t="n">
        <v>1</v>
      </c>
      <c r="R52" s="2" t="n">
        <v>0</v>
      </c>
      <c r="S52" s="2" t="n">
        <f aca="false">A53-A52</f>
        <v>0.199999999999989</v>
      </c>
      <c r="T52" s="2" t="n">
        <f aca="false">C52+Summary!$C$8*D52</f>
        <v>0.553298</v>
      </c>
      <c r="U52" s="2" t="n">
        <f aca="false">B52*T52</f>
        <v>6.550495022</v>
      </c>
      <c r="V52" s="2" t="n">
        <f aca="false">B52*C52</f>
        <v>1.444358</v>
      </c>
      <c r="W52" s="2" t="s">
        <v>64</v>
      </c>
      <c r="X52" s="2" t="s">
        <v>10</v>
      </c>
    </row>
    <row r="53" customFormat="false" ht="15" hidden="false" customHeight="false" outlineLevel="0" collapsed="false">
      <c r="A53" s="2" t="n">
        <v>185.03</v>
      </c>
      <c r="B53" s="2" t="n">
        <v>11.824</v>
      </c>
      <c r="C53" s="2" t="n">
        <v>0.026</v>
      </c>
      <c r="D53" s="2" t="n">
        <v>5.306</v>
      </c>
      <c r="E53" s="2" t="n">
        <v>0</v>
      </c>
      <c r="F53" s="2" t="n">
        <v>76</v>
      </c>
      <c r="G53" s="2" t="n">
        <v>400</v>
      </c>
      <c r="H53" s="2" t="n">
        <v>60</v>
      </c>
      <c r="I53" s="2" t="n">
        <v>30</v>
      </c>
      <c r="J53" s="2"/>
      <c r="K53" s="2" t="n">
        <v>1</v>
      </c>
      <c r="L53" s="2" t="n">
        <v>1</v>
      </c>
      <c r="M53" s="2" t="n">
        <v>0</v>
      </c>
      <c r="N53" s="2" t="n">
        <v>0</v>
      </c>
      <c r="O53" s="2" t="n">
        <v>0</v>
      </c>
      <c r="P53" s="2" t="n">
        <v>1</v>
      </c>
      <c r="Q53" s="2" t="n">
        <v>1</v>
      </c>
      <c r="R53" s="2" t="n">
        <v>0</v>
      </c>
      <c r="S53" s="2" t="n">
        <f aca="false">A54-A53</f>
        <v>0.210000000000008</v>
      </c>
      <c r="T53" s="2" t="n">
        <f aca="false">C53+Summary!$C$8*D53</f>
        <v>0.458439</v>
      </c>
      <c r="U53" s="2" t="n">
        <f aca="false">B53*T53</f>
        <v>5.420582736</v>
      </c>
      <c r="V53" s="2" t="n">
        <f aca="false">B53*C53</f>
        <v>0.307424</v>
      </c>
      <c r="W53" s="2" t="s">
        <v>64</v>
      </c>
      <c r="X53" s="2" t="s">
        <v>10</v>
      </c>
    </row>
    <row r="54" customFormat="false" ht="15" hidden="false" customHeight="false" outlineLevel="0" collapsed="false">
      <c r="A54" s="2" t="n">
        <v>185.24</v>
      </c>
      <c r="B54" s="2" t="n">
        <v>11.915</v>
      </c>
      <c r="C54" s="2" t="n">
        <v>-0.171</v>
      </c>
      <c r="D54" s="2" t="n">
        <v>5.22</v>
      </c>
      <c r="E54" s="2" t="n">
        <v>0</v>
      </c>
      <c r="F54" s="2" t="n">
        <v>76</v>
      </c>
      <c r="G54" s="2" t="n">
        <v>400</v>
      </c>
      <c r="H54" s="2" t="n">
        <v>23</v>
      </c>
      <c r="I54" s="2" t="n">
        <v>36</v>
      </c>
      <c r="J54" s="2"/>
      <c r="K54" s="2" t="n">
        <v>1</v>
      </c>
      <c r="L54" s="2" t="n">
        <v>1</v>
      </c>
      <c r="M54" s="2" t="n">
        <v>0</v>
      </c>
      <c r="N54" s="2" t="n">
        <v>0</v>
      </c>
      <c r="O54" s="2" t="n">
        <v>0</v>
      </c>
      <c r="P54" s="2" t="n">
        <v>1</v>
      </c>
      <c r="Q54" s="2" t="n">
        <v>1</v>
      </c>
      <c r="R54" s="2" t="n">
        <v>0</v>
      </c>
      <c r="S54" s="2" t="n">
        <f aca="false">A55-A54</f>
        <v>0.199999999999989</v>
      </c>
      <c r="T54" s="2" t="n">
        <f aca="false">C54+Summary!$C$8*D54</f>
        <v>0.25443</v>
      </c>
      <c r="U54" s="2" t="n">
        <f aca="false">B54*T54</f>
        <v>3.03153345</v>
      </c>
      <c r="V54" s="2" t="n">
        <f aca="false">B54*C54</f>
        <v>-2.037465</v>
      </c>
      <c r="W54" s="2" t="s">
        <v>64</v>
      </c>
      <c r="X54" s="2" t="s">
        <v>10</v>
      </c>
    </row>
    <row r="55" customFormat="false" ht="15" hidden="false" customHeight="false" outlineLevel="0" collapsed="false">
      <c r="A55" s="2" t="n">
        <v>185.44</v>
      </c>
      <c r="B55" s="2" t="n">
        <v>11.917</v>
      </c>
      <c r="C55" s="2" t="n">
        <v>-0.185</v>
      </c>
      <c r="D55" s="2" t="n">
        <v>5.197</v>
      </c>
      <c r="E55" s="2" t="n">
        <v>0</v>
      </c>
      <c r="F55" s="2" t="n">
        <v>76</v>
      </c>
      <c r="G55" s="2" t="n">
        <v>36</v>
      </c>
      <c r="H55" s="2" t="n">
        <v>68</v>
      </c>
      <c r="I55" s="2" t="n">
        <v>400</v>
      </c>
      <c r="J55" s="2"/>
      <c r="K55" s="2" t="n">
        <v>1</v>
      </c>
      <c r="L55" s="2" t="n">
        <v>1</v>
      </c>
      <c r="M55" s="2" t="n">
        <v>0</v>
      </c>
      <c r="N55" s="2" t="n">
        <v>0</v>
      </c>
      <c r="O55" s="2" t="n">
        <v>0</v>
      </c>
      <c r="P55" s="2" t="n">
        <v>1</v>
      </c>
      <c r="Q55" s="2" t="n">
        <v>1</v>
      </c>
      <c r="R55" s="2" t="n">
        <v>0</v>
      </c>
      <c r="S55" s="2" t="n">
        <f aca="false">A56-A55</f>
        <v>0.199999999999989</v>
      </c>
      <c r="T55" s="2" t="n">
        <f aca="false">C55+Summary!$C$8*D55</f>
        <v>0.2385555</v>
      </c>
      <c r="U55" s="2" t="n">
        <f aca="false">B55*T55</f>
        <v>2.8428658935</v>
      </c>
      <c r="V55" s="2" t="n">
        <f aca="false">B55*C55</f>
        <v>-2.204645</v>
      </c>
      <c r="W55" s="2" t="s">
        <v>64</v>
      </c>
      <c r="X55" s="2" t="s">
        <v>10</v>
      </c>
    </row>
    <row r="56" customFormat="false" ht="15" hidden="false" customHeight="false" outlineLevel="0" collapsed="false">
      <c r="A56" s="2" t="n">
        <v>185.64</v>
      </c>
      <c r="B56" s="2" t="n">
        <v>11.928</v>
      </c>
      <c r="C56" s="2" t="n">
        <v>-0.199</v>
      </c>
      <c r="D56" s="2" t="n">
        <v>5.142</v>
      </c>
      <c r="E56" s="2" t="n">
        <v>0</v>
      </c>
      <c r="F56" s="2" t="n">
        <v>76</v>
      </c>
      <c r="G56" s="2" t="n">
        <v>400</v>
      </c>
      <c r="H56" s="2" t="n">
        <v>24</v>
      </c>
      <c r="I56" s="2" t="n">
        <v>400</v>
      </c>
      <c r="J56" s="2"/>
      <c r="K56" s="2" t="n">
        <v>1</v>
      </c>
      <c r="L56" s="2" t="n">
        <v>1</v>
      </c>
      <c r="M56" s="2" t="n">
        <v>0</v>
      </c>
      <c r="N56" s="2" t="n">
        <v>0</v>
      </c>
      <c r="O56" s="2" t="n">
        <v>0</v>
      </c>
      <c r="P56" s="2" t="n">
        <v>1</v>
      </c>
      <c r="Q56" s="2" t="n">
        <v>1</v>
      </c>
      <c r="R56" s="2" t="n">
        <v>0</v>
      </c>
      <c r="S56" s="2" t="n">
        <f aca="false">A57-A56</f>
        <v>0.200000000000017</v>
      </c>
      <c r="T56" s="2" t="n">
        <f aca="false">C56+Summary!$C$8*D56</f>
        <v>0.220073</v>
      </c>
      <c r="U56" s="2" t="n">
        <f aca="false">B56*T56</f>
        <v>2.625030744</v>
      </c>
      <c r="V56" s="2" t="n">
        <f aca="false">B56*C56</f>
        <v>-2.373672</v>
      </c>
      <c r="W56" s="2" t="s">
        <v>64</v>
      </c>
      <c r="X56" s="2" t="s">
        <v>10</v>
      </c>
    </row>
    <row r="57" customFormat="false" ht="15" hidden="false" customHeight="false" outlineLevel="0" collapsed="false">
      <c r="A57" s="2" t="n">
        <v>185.84</v>
      </c>
      <c r="B57" s="2" t="n">
        <v>11.937</v>
      </c>
      <c r="C57" s="2" t="n">
        <v>-0.229</v>
      </c>
      <c r="D57" s="2" t="n">
        <v>5.163</v>
      </c>
      <c r="E57" s="2" t="n">
        <v>0</v>
      </c>
      <c r="F57" s="2" t="n">
        <v>76</v>
      </c>
      <c r="G57" s="2" t="n">
        <v>400</v>
      </c>
      <c r="H57" s="2" t="n">
        <v>143</v>
      </c>
      <c r="I57" s="2" t="n">
        <v>400</v>
      </c>
      <c r="J57" s="2"/>
      <c r="K57" s="2" t="n">
        <v>1</v>
      </c>
      <c r="L57" s="2" t="n">
        <v>1</v>
      </c>
      <c r="M57" s="2" t="n">
        <v>0</v>
      </c>
      <c r="N57" s="2" t="n">
        <v>0</v>
      </c>
      <c r="O57" s="2" t="n">
        <v>0</v>
      </c>
      <c r="P57" s="2" t="n">
        <v>1</v>
      </c>
      <c r="Q57" s="2" t="n">
        <v>1</v>
      </c>
      <c r="R57" s="2" t="n">
        <v>0</v>
      </c>
      <c r="S57" s="2" t="n">
        <f aca="false">A58-A57</f>
        <v>0.199999999999989</v>
      </c>
      <c r="T57" s="2" t="n">
        <f aca="false">C57+Summary!$C$8*D57</f>
        <v>0.1917845</v>
      </c>
      <c r="U57" s="2" t="n">
        <f aca="false">B57*T57</f>
        <v>2.2893315765</v>
      </c>
      <c r="V57" s="2" t="n">
        <f aca="false">B57*C57</f>
        <v>-2.733573</v>
      </c>
      <c r="W57" s="2" t="s">
        <v>64</v>
      </c>
      <c r="X57" s="2" t="s">
        <v>10</v>
      </c>
    </row>
    <row r="58" customFormat="false" ht="15" hidden="false" customHeight="false" outlineLevel="0" collapsed="false">
      <c r="A58" s="2" t="n">
        <v>186.04</v>
      </c>
      <c r="B58" s="2" t="n">
        <v>11.939</v>
      </c>
      <c r="C58" s="2" t="n">
        <v>-0.241</v>
      </c>
      <c r="D58" s="2" t="n">
        <v>5.147</v>
      </c>
      <c r="E58" s="2" t="n">
        <v>0</v>
      </c>
      <c r="F58" s="2" t="n">
        <v>76</v>
      </c>
      <c r="G58" s="2" t="n">
        <v>400</v>
      </c>
      <c r="H58" s="2" t="n">
        <v>139</v>
      </c>
      <c r="I58" s="2" t="n">
        <v>31</v>
      </c>
      <c r="J58" s="2"/>
      <c r="K58" s="2" t="n">
        <v>1</v>
      </c>
      <c r="L58" s="2" t="n">
        <v>1</v>
      </c>
      <c r="M58" s="2" t="n">
        <v>0</v>
      </c>
      <c r="N58" s="2" t="n">
        <v>0</v>
      </c>
      <c r="O58" s="2" t="n">
        <v>0</v>
      </c>
      <c r="P58" s="2" t="n">
        <v>1</v>
      </c>
      <c r="Q58" s="2" t="n">
        <v>1</v>
      </c>
      <c r="R58" s="2" t="n">
        <v>0</v>
      </c>
      <c r="S58" s="2" t="n">
        <f aca="false">A59-A58</f>
        <v>0.200000000000017</v>
      </c>
      <c r="T58" s="2" t="n">
        <f aca="false">C58+Summary!$C$8*D58</f>
        <v>0.1784805</v>
      </c>
      <c r="U58" s="2" t="n">
        <f aca="false">B58*T58</f>
        <v>2.1308786895</v>
      </c>
      <c r="V58" s="2" t="n">
        <f aca="false">B58*C58</f>
        <v>-2.877299</v>
      </c>
      <c r="W58" s="2" t="s">
        <v>64</v>
      </c>
      <c r="X58" s="2" t="s">
        <v>10</v>
      </c>
    </row>
    <row r="59" customFormat="false" ht="15" hidden="false" customHeight="false" outlineLevel="0" collapsed="false">
      <c r="A59" s="2" t="n">
        <v>186.24</v>
      </c>
      <c r="B59" s="2" t="n">
        <v>11.944</v>
      </c>
      <c r="C59" s="2" t="n">
        <v>-0.238</v>
      </c>
      <c r="D59" s="2" t="n">
        <v>5.159</v>
      </c>
      <c r="E59" s="2" t="n">
        <v>0</v>
      </c>
      <c r="F59" s="2" t="n">
        <v>76</v>
      </c>
      <c r="G59" s="2" t="n">
        <v>400</v>
      </c>
      <c r="H59" s="2" t="n">
        <v>139</v>
      </c>
      <c r="I59" s="2" t="n">
        <v>400</v>
      </c>
      <c r="J59" s="2"/>
      <c r="K59" s="2" t="n">
        <v>1</v>
      </c>
      <c r="L59" s="2" t="n">
        <v>1</v>
      </c>
      <c r="M59" s="2" t="n">
        <v>0</v>
      </c>
      <c r="N59" s="2" t="n">
        <v>0</v>
      </c>
      <c r="O59" s="2" t="n">
        <v>0</v>
      </c>
      <c r="P59" s="2" t="n">
        <v>1</v>
      </c>
      <c r="Q59" s="2" t="n">
        <v>1</v>
      </c>
      <c r="R59" s="2" t="n">
        <v>0</v>
      </c>
      <c r="S59" s="2" t="n">
        <f aca="false">A60-A59</f>
        <v>0.199999999999989</v>
      </c>
      <c r="T59" s="2" t="n">
        <f aca="false">C59+Summary!$C$8*D59</f>
        <v>0.1824585</v>
      </c>
      <c r="U59" s="2" t="n">
        <f aca="false">B59*T59</f>
        <v>2.179284324</v>
      </c>
      <c r="V59" s="2" t="n">
        <f aca="false">B59*C59</f>
        <v>-2.842672</v>
      </c>
      <c r="W59" s="2" t="s">
        <v>64</v>
      </c>
      <c r="X59" s="2" t="s">
        <v>10</v>
      </c>
    </row>
    <row r="60" customFormat="false" ht="15" hidden="false" customHeight="false" outlineLevel="0" collapsed="false">
      <c r="A60" s="2" t="n">
        <v>186.44</v>
      </c>
      <c r="B60" s="2" t="n">
        <v>11.944</v>
      </c>
      <c r="C60" s="2" t="n">
        <v>-0.237</v>
      </c>
      <c r="D60" s="2" t="n">
        <v>5.155</v>
      </c>
      <c r="E60" s="2" t="n">
        <v>0</v>
      </c>
      <c r="F60" s="2" t="n">
        <v>76</v>
      </c>
      <c r="G60" s="2" t="n">
        <v>400</v>
      </c>
      <c r="H60" s="2" t="n">
        <v>154</v>
      </c>
      <c r="I60" s="2" t="n">
        <v>400</v>
      </c>
      <c r="J60" s="2"/>
      <c r="K60" s="2" t="n">
        <v>1</v>
      </c>
      <c r="L60" s="2" t="n">
        <v>1</v>
      </c>
      <c r="M60" s="2" t="n">
        <v>0</v>
      </c>
      <c r="N60" s="2" t="n">
        <v>0</v>
      </c>
      <c r="O60" s="2" t="n">
        <v>0</v>
      </c>
      <c r="P60" s="2" t="n">
        <v>1</v>
      </c>
      <c r="Q60" s="2" t="n">
        <v>1</v>
      </c>
      <c r="R60" s="2" t="n">
        <v>0</v>
      </c>
      <c r="S60" s="2" t="n">
        <f aca="false">A61-A60</f>
        <v>0.199999999999989</v>
      </c>
      <c r="T60" s="2" t="n">
        <f aca="false">C60+Summary!$C$8*D60</f>
        <v>0.1831325</v>
      </c>
      <c r="U60" s="2" t="n">
        <f aca="false">B60*T60</f>
        <v>2.18733458</v>
      </c>
      <c r="V60" s="2" t="n">
        <f aca="false">B60*C60</f>
        <v>-2.830728</v>
      </c>
      <c r="W60" s="2" t="s">
        <v>64</v>
      </c>
      <c r="X60" s="2" t="s">
        <v>10</v>
      </c>
    </row>
    <row r="61" customFormat="false" ht="15" hidden="false" customHeight="false" outlineLevel="0" collapsed="false">
      <c r="A61" s="2" t="n">
        <v>186.64</v>
      </c>
      <c r="B61" s="2" t="n">
        <v>11.939</v>
      </c>
      <c r="C61" s="2" t="n">
        <v>-0.239</v>
      </c>
      <c r="D61" s="2" t="n">
        <v>5.167</v>
      </c>
      <c r="E61" s="2" t="n">
        <v>0</v>
      </c>
      <c r="F61" s="2" t="n">
        <v>76</v>
      </c>
      <c r="G61" s="2" t="n">
        <v>400</v>
      </c>
      <c r="H61" s="2" t="n">
        <v>47</v>
      </c>
      <c r="I61" s="2" t="n">
        <v>400</v>
      </c>
      <c r="J61" s="2"/>
      <c r="K61" s="2" t="n">
        <v>1</v>
      </c>
      <c r="L61" s="2" t="n">
        <v>1</v>
      </c>
      <c r="M61" s="2" t="n">
        <v>0</v>
      </c>
      <c r="N61" s="2" t="n">
        <v>0</v>
      </c>
      <c r="O61" s="2" t="n">
        <v>0</v>
      </c>
      <c r="P61" s="2" t="n">
        <v>1</v>
      </c>
      <c r="Q61" s="2" t="n">
        <v>1</v>
      </c>
      <c r="R61" s="2" t="n">
        <v>0</v>
      </c>
      <c r="S61" s="2" t="n">
        <f aca="false">A62-A61</f>
        <v>0.200000000000017</v>
      </c>
      <c r="T61" s="2" t="n">
        <f aca="false">C61+Summary!$C$8*D61</f>
        <v>0.1821105</v>
      </c>
      <c r="U61" s="2" t="n">
        <f aca="false">B61*T61</f>
        <v>2.1742172595</v>
      </c>
      <c r="V61" s="2" t="n">
        <f aca="false">B61*C61</f>
        <v>-2.853421</v>
      </c>
      <c r="W61" s="2" t="s">
        <v>64</v>
      </c>
      <c r="X61" s="2" t="s">
        <v>10</v>
      </c>
    </row>
    <row r="62" customFormat="false" ht="15" hidden="false" customHeight="false" outlineLevel="0" collapsed="false">
      <c r="A62" s="2" t="n">
        <v>186.84</v>
      </c>
      <c r="B62" s="2" t="n">
        <v>11.94</v>
      </c>
      <c r="C62" s="2" t="n">
        <v>-0.239</v>
      </c>
      <c r="D62" s="2" t="n">
        <v>5.168</v>
      </c>
      <c r="E62" s="2" t="n">
        <v>0</v>
      </c>
      <c r="F62" s="2" t="n">
        <v>76</v>
      </c>
      <c r="G62" s="2" t="n">
        <v>400</v>
      </c>
      <c r="H62" s="2" t="n">
        <v>52</v>
      </c>
      <c r="I62" s="2" t="n">
        <v>400</v>
      </c>
      <c r="J62" s="2"/>
      <c r="K62" s="2" t="n">
        <v>1</v>
      </c>
      <c r="L62" s="2" t="n">
        <v>1</v>
      </c>
      <c r="M62" s="2" t="n">
        <v>0</v>
      </c>
      <c r="N62" s="2" t="n">
        <v>0</v>
      </c>
      <c r="O62" s="2" t="n">
        <v>0</v>
      </c>
      <c r="P62" s="2" t="n">
        <v>1</v>
      </c>
      <c r="Q62" s="2" t="n">
        <v>1</v>
      </c>
      <c r="R62" s="2" t="n">
        <v>0</v>
      </c>
      <c r="S62" s="2" t="n">
        <f aca="false">A63-A62</f>
        <v>0.199999999999989</v>
      </c>
      <c r="T62" s="2" t="n">
        <f aca="false">C62+Summary!$C$8*D62</f>
        <v>0.182192</v>
      </c>
      <c r="U62" s="2" t="n">
        <f aca="false">B62*T62</f>
        <v>2.17537248</v>
      </c>
      <c r="V62" s="2" t="n">
        <f aca="false">B62*C62</f>
        <v>-2.85366</v>
      </c>
      <c r="W62" s="2" t="s">
        <v>64</v>
      </c>
      <c r="X62" s="2" t="s">
        <v>10</v>
      </c>
    </row>
    <row r="63" customFormat="false" ht="15" hidden="false" customHeight="false" outlineLevel="0" collapsed="false">
      <c r="A63" s="2" t="n">
        <v>187.04</v>
      </c>
      <c r="B63" s="2" t="n">
        <v>11.94</v>
      </c>
      <c r="C63" s="2" t="n">
        <v>-0.239</v>
      </c>
      <c r="D63" s="2" t="n">
        <v>5.168</v>
      </c>
      <c r="E63" s="2" t="n">
        <v>0</v>
      </c>
      <c r="F63" s="2" t="n">
        <v>76</v>
      </c>
      <c r="G63" s="2" t="n">
        <v>400</v>
      </c>
      <c r="H63" s="2" t="n">
        <v>138</v>
      </c>
      <c r="I63" s="2" t="n">
        <v>400</v>
      </c>
      <c r="J63" s="2"/>
      <c r="K63" s="2" t="n">
        <v>1</v>
      </c>
      <c r="L63" s="2" t="n">
        <v>1</v>
      </c>
      <c r="M63" s="2" t="n">
        <v>0</v>
      </c>
      <c r="N63" s="2" t="n">
        <v>0</v>
      </c>
      <c r="O63" s="2" t="n">
        <v>0</v>
      </c>
      <c r="P63" s="2" t="n">
        <v>1</v>
      </c>
      <c r="Q63" s="2" t="n">
        <v>1</v>
      </c>
      <c r="R63" s="2" t="n">
        <v>0</v>
      </c>
      <c r="S63" s="2" t="n">
        <f aca="false">A64-A63</f>
        <v>0.200000000000017</v>
      </c>
      <c r="T63" s="2" t="n">
        <f aca="false">C63+Summary!$C$8*D63</f>
        <v>0.182192</v>
      </c>
      <c r="U63" s="2" t="n">
        <f aca="false">B63*T63</f>
        <v>2.17537248</v>
      </c>
      <c r="V63" s="2" t="n">
        <f aca="false">B63*C63</f>
        <v>-2.85366</v>
      </c>
      <c r="W63" s="2" t="s">
        <v>64</v>
      </c>
      <c r="X63" s="2" t="s">
        <v>10</v>
      </c>
    </row>
    <row r="64" customFormat="false" ht="15" hidden="false" customHeight="false" outlineLevel="0" collapsed="false">
      <c r="A64" s="2" t="n">
        <v>187.24</v>
      </c>
      <c r="B64" s="2" t="n">
        <v>11.925</v>
      </c>
      <c r="C64" s="2" t="n">
        <v>-0.177</v>
      </c>
      <c r="D64" s="2" t="n">
        <v>5.17</v>
      </c>
      <c r="E64" s="2" t="n">
        <v>0</v>
      </c>
      <c r="F64" s="2" t="n">
        <v>76</v>
      </c>
      <c r="G64" s="2" t="n">
        <v>400</v>
      </c>
      <c r="H64" s="2" t="n">
        <v>56</v>
      </c>
      <c r="I64" s="2" t="n">
        <v>400</v>
      </c>
      <c r="J64" s="2"/>
      <c r="K64" s="2" t="n">
        <v>1</v>
      </c>
      <c r="L64" s="2" t="n">
        <v>1</v>
      </c>
      <c r="M64" s="2" t="n">
        <v>0</v>
      </c>
      <c r="N64" s="2" t="n">
        <v>0</v>
      </c>
      <c r="O64" s="2" t="n">
        <v>0</v>
      </c>
      <c r="P64" s="2" t="n">
        <v>1</v>
      </c>
      <c r="Q64" s="2" t="n">
        <v>1</v>
      </c>
      <c r="R64" s="2" t="n">
        <v>0</v>
      </c>
      <c r="S64" s="2" t="n">
        <f aca="false">A65-A64</f>
        <v>0.199999999999989</v>
      </c>
      <c r="T64" s="2" t="n">
        <f aca="false">C64+Summary!$C$8*D64</f>
        <v>0.244355</v>
      </c>
      <c r="U64" s="2" t="n">
        <f aca="false">B64*T64</f>
        <v>2.913933375</v>
      </c>
      <c r="V64" s="2" t="n">
        <f aca="false">B64*C64</f>
        <v>-2.110725</v>
      </c>
      <c r="W64" s="2" t="s">
        <v>64</v>
      </c>
      <c r="X64" s="2" t="s">
        <v>10</v>
      </c>
    </row>
    <row r="65" customFormat="false" ht="15" hidden="false" customHeight="false" outlineLevel="0" collapsed="false">
      <c r="A65" s="2" t="n">
        <v>187.44</v>
      </c>
      <c r="B65" s="2" t="n">
        <v>11.797</v>
      </c>
      <c r="C65" s="2" t="n">
        <v>0.304</v>
      </c>
      <c r="D65" s="2" t="n">
        <v>5.108</v>
      </c>
      <c r="E65" s="2" t="n">
        <v>0</v>
      </c>
      <c r="F65" s="2" t="n">
        <v>76</v>
      </c>
      <c r="G65" s="2" t="n">
        <v>400</v>
      </c>
      <c r="H65" s="2" t="n">
        <v>29</v>
      </c>
      <c r="I65" s="2" t="n">
        <v>400</v>
      </c>
      <c r="J65" s="2"/>
      <c r="K65" s="2" t="n">
        <v>1</v>
      </c>
      <c r="L65" s="2" t="n">
        <v>1</v>
      </c>
      <c r="M65" s="2" t="n">
        <v>0</v>
      </c>
      <c r="N65" s="2" t="n">
        <v>0</v>
      </c>
      <c r="O65" s="2" t="n">
        <v>0</v>
      </c>
      <c r="P65" s="2" t="n">
        <v>1</v>
      </c>
      <c r="Q65" s="2" t="n">
        <v>1</v>
      </c>
      <c r="R65" s="2" t="n">
        <v>0</v>
      </c>
      <c r="S65" s="2" t="n">
        <f aca="false">A66-A65</f>
        <v>0.199999999999989</v>
      </c>
      <c r="T65" s="2" t="n">
        <f aca="false">C65+Summary!$C$8*D65</f>
        <v>0.720302</v>
      </c>
      <c r="U65" s="2" t="n">
        <f aca="false">B65*T65</f>
        <v>8.497402694</v>
      </c>
      <c r="V65" s="2" t="n">
        <f aca="false">B65*C65</f>
        <v>3.586288</v>
      </c>
      <c r="W65" s="2" t="s">
        <v>64</v>
      </c>
      <c r="X65" s="2" t="s">
        <v>10</v>
      </c>
    </row>
    <row r="66" customFormat="false" ht="15" hidden="false" customHeight="false" outlineLevel="0" collapsed="false">
      <c r="A66" s="2" t="n">
        <v>187.64</v>
      </c>
      <c r="B66" s="2" t="n">
        <v>11.691</v>
      </c>
      <c r="C66" s="2" t="n">
        <v>0.509</v>
      </c>
      <c r="D66" s="2" t="n">
        <v>5.13</v>
      </c>
      <c r="E66" s="2" t="n">
        <v>0</v>
      </c>
      <c r="F66" s="2" t="n">
        <v>76</v>
      </c>
      <c r="G66" s="2" t="n">
        <v>400</v>
      </c>
      <c r="H66" s="2" t="n">
        <v>149</v>
      </c>
      <c r="I66" s="2" t="n">
        <v>400</v>
      </c>
      <c r="J66" s="2"/>
      <c r="K66" s="2" t="n">
        <v>1</v>
      </c>
      <c r="L66" s="2" t="n">
        <v>1</v>
      </c>
      <c r="M66" s="2" t="n">
        <v>0</v>
      </c>
      <c r="N66" s="2" t="n">
        <v>0</v>
      </c>
      <c r="O66" s="2" t="n">
        <v>0</v>
      </c>
      <c r="P66" s="2" t="n">
        <v>1</v>
      </c>
      <c r="Q66" s="2" t="n">
        <v>1</v>
      </c>
      <c r="R66" s="2" t="n">
        <v>0</v>
      </c>
      <c r="S66" s="2" t="n">
        <f aca="false">A67-A66</f>
        <v>0.200000000000017</v>
      </c>
      <c r="T66" s="2" t="n">
        <f aca="false">C66+Summary!$C$8*D66</f>
        <v>0.927095</v>
      </c>
      <c r="U66" s="2" t="n">
        <f aca="false">B66*T66</f>
        <v>10.838667645</v>
      </c>
      <c r="V66" s="2" t="n">
        <f aca="false">B66*C66</f>
        <v>5.950719</v>
      </c>
      <c r="W66" s="2" t="s">
        <v>64</v>
      </c>
      <c r="X66" s="2" t="s">
        <v>10</v>
      </c>
    </row>
    <row r="67" customFormat="false" ht="15" hidden="false" customHeight="false" outlineLevel="0" collapsed="false">
      <c r="A67" s="2" t="n">
        <v>187.84</v>
      </c>
      <c r="B67" s="2" t="n">
        <v>11.778</v>
      </c>
      <c r="C67" s="2" t="n">
        <v>0.263</v>
      </c>
      <c r="D67" s="2" t="n">
        <v>5.112</v>
      </c>
      <c r="E67" s="2" t="n">
        <v>0.027</v>
      </c>
      <c r="F67" s="2" t="n">
        <v>76</v>
      </c>
      <c r="G67" s="2" t="n">
        <v>400</v>
      </c>
      <c r="H67" s="2" t="n">
        <v>129</v>
      </c>
      <c r="I67" s="2" t="n">
        <v>22</v>
      </c>
      <c r="J67" s="2"/>
      <c r="K67" s="2" t="n">
        <v>1</v>
      </c>
      <c r="L67" s="2" t="n">
        <v>1</v>
      </c>
      <c r="M67" s="2" t="n">
        <v>0</v>
      </c>
      <c r="N67" s="2" t="n">
        <v>0</v>
      </c>
      <c r="O67" s="2" t="n">
        <v>0</v>
      </c>
      <c r="P67" s="2" t="n">
        <v>1</v>
      </c>
      <c r="Q67" s="2" t="n">
        <v>1</v>
      </c>
      <c r="R67" s="2" t="n">
        <v>0</v>
      </c>
      <c r="S67" s="2" t="n">
        <f aca="false">A68-A67</f>
        <v>0.199999999999989</v>
      </c>
      <c r="T67" s="2" t="n">
        <f aca="false">C67+Summary!$C$8*D67</f>
        <v>0.679628</v>
      </c>
      <c r="U67" s="2" t="n">
        <f aca="false">B67*T67</f>
        <v>8.004658584</v>
      </c>
      <c r="V67" s="2" t="n">
        <f aca="false">B67*C67</f>
        <v>3.097614</v>
      </c>
      <c r="W67" s="2" t="s">
        <v>64</v>
      </c>
      <c r="X67" s="2" t="s">
        <v>10</v>
      </c>
    </row>
    <row r="68" customFormat="false" ht="15" hidden="false" customHeight="false" outlineLevel="0" collapsed="false">
      <c r="A68" s="2" t="n">
        <v>188.04</v>
      </c>
      <c r="B68" s="2" t="n">
        <v>11.806</v>
      </c>
      <c r="C68" s="2" t="n">
        <v>0.106</v>
      </c>
      <c r="D68" s="2" t="n">
        <v>5.107</v>
      </c>
      <c r="E68" s="2" t="n">
        <v>0.027</v>
      </c>
      <c r="F68" s="2" t="n">
        <v>76</v>
      </c>
      <c r="G68" s="2" t="n">
        <v>400</v>
      </c>
      <c r="H68" s="2" t="n">
        <v>29</v>
      </c>
      <c r="I68" s="2" t="n">
        <v>49</v>
      </c>
      <c r="J68" s="2"/>
      <c r="K68" s="2" t="n">
        <v>1</v>
      </c>
      <c r="L68" s="2" t="n">
        <v>1</v>
      </c>
      <c r="M68" s="2" t="n">
        <v>0</v>
      </c>
      <c r="N68" s="2" t="n">
        <v>0</v>
      </c>
      <c r="O68" s="2" t="n">
        <v>0</v>
      </c>
      <c r="P68" s="2" t="n">
        <v>1</v>
      </c>
      <c r="Q68" s="2" t="n">
        <v>1</v>
      </c>
      <c r="R68" s="2" t="n">
        <v>0</v>
      </c>
      <c r="S68" s="2" t="n">
        <f aca="false">A69-A68</f>
        <v>0.200000000000017</v>
      </c>
      <c r="T68" s="2" t="n">
        <f aca="false">C68+Summary!$C$8*D68</f>
        <v>0.5222205</v>
      </c>
      <c r="U68" s="2" t="n">
        <f aca="false">B68*T68</f>
        <v>6.165335223</v>
      </c>
      <c r="V68" s="2" t="n">
        <f aca="false">B68*C68</f>
        <v>1.251436</v>
      </c>
      <c r="W68" s="2" t="s">
        <v>64</v>
      </c>
      <c r="X68" s="2" t="s">
        <v>10</v>
      </c>
    </row>
    <row r="69" customFormat="false" ht="15" hidden="false" customHeight="false" outlineLevel="0" collapsed="false">
      <c r="A69" s="2" t="n">
        <v>188.24</v>
      </c>
      <c r="B69" s="2" t="n">
        <v>11.821</v>
      </c>
      <c r="C69" s="2" t="n">
        <v>0.039</v>
      </c>
      <c r="D69" s="2" t="n">
        <v>5.071</v>
      </c>
      <c r="E69" s="2" t="n">
        <v>0.04</v>
      </c>
      <c r="F69" s="2" t="n">
        <v>76</v>
      </c>
      <c r="G69" s="2" t="n">
        <v>400</v>
      </c>
      <c r="H69" s="2" t="n">
        <v>41</v>
      </c>
      <c r="I69" s="2" t="n">
        <v>56</v>
      </c>
      <c r="J69" s="2"/>
      <c r="K69" s="2" t="n">
        <v>1</v>
      </c>
      <c r="L69" s="2" t="n">
        <v>1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1</v>
      </c>
      <c r="R69" s="2" t="n">
        <v>0</v>
      </c>
      <c r="S69" s="2" t="n">
        <f aca="false">A70-A69</f>
        <v>0.199999999999989</v>
      </c>
      <c r="T69" s="2" t="n">
        <f aca="false">C69+Summary!$C$8*D69</f>
        <v>0.4522865</v>
      </c>
      <c r="U69" s="2" t="n">
        <f aca="false">B69*T69</f>
        <v>5.3464787165</v>
      </c>
      <c r="V69" s="2" t="n">
        <f aca="false">B69*C69</f>
        <v>0.461019</v>
      </c>
      <c r="W69" s="2" t="s">
        <v>64</v>
      </c>
      <c r="X69" s="2" t="s">
        <v>10</v>
      </c>
    </row>
    <row r="70" customFormat="false" ht="15" hidden="false" customHeight="false" outlineLevel="0" collapsed="false">
      <c r="A70" s="2" t="n">
        <v>188.44</v>
      </c>
      <c r="B70" s="2" t="n">
        <v>11.847</v>
      </c>
      <c r="C70" s="2" t="n">
        <v>0.098</v>
      </c>
      <c r="D70" s="2" t="n">
        <v>5.049</v>
      </c>
      <c r="E70" s="2" t="n">
        <v>0.027</v>
      </c>
      <c r="F70" s="2" t="n">
        <v>76</v>
      </c>
      <c r="G70" s="2" t="n">
        <v>38</v>
      </c>
      <c r="H70" s="2" t="n">
        <v>125</v>
      </c>
      <c r="I70" s="2" t="n">
        <v>400</v>
      </c>
      <c r="J70" s="2"/>
      <c r="K70" s="2" t="n">
        <v>1</v>
      </c>
      <c r="L70" s="2" t="n">
        <v>1</v>
      </c>
      <c r="M70" s="2" t="n">
        <v>0</v>
      </c>
      <c r="N70" s="2" t="n">
        <v>0</v>
      </c>
      <c r="O70" s="2" t="n">
        <v>0</v>
      </c>
      <c r="P70" s="2" t="n">
        <v>1</v>
      </c>
      <c r="Q70" s="2" t="n">
        <v>1</v>
      </c>
      <c r="R70" s="2" t="n">
        <v>0</v>
      </c>
      <c r="S70" s="2" t="n">
        <f aca="false">A71-A70</f>
        <v>0.199999999999989</v>
      </c>
      <c r="T70" s="2" t="n">
        <f aca="false">C70+Summary!$C$8*D70</f>
        <v>0.5094935</v>
      </c>
      <c r="U70" s="2" t="n">
        <f aca="false">B70*T70</f>
        <v>6.0359694945</v>
      </c>
      <c r="V70" s="2" t="n">
        <f aca="false">B70*C70</f>
        <v>1.161006</v>
      </c>
      <c r="W70" s="2" t="s">
        <v>64</v>
      </c>
      <c r="X70" s="2" t="s">
        <v>10</v>
      </c>
    </row>
    <row r="71" customFormat="false" ht="15" hidden="false" customHeight="false" outlineLevel="0" collapsed="false">
      <c r="A71" s="2" t="n">
        <v>188.64</v>
      </c>
      <c r="B71" s="2" t="n">
        <v>11.845</v>
      </c>
      <c r="C71" s="2" t="n">
        <v>0.087</v>
      </c>
      <c r="D71" s="2" t="n">
        <v>4.983</v>
      </c>
      <c r="E71" s="2" t="n">
        <v>0</v>
      </c>
      <c r="F71" s="2" t="n">
        <v>76</v>
      </c>
      <c r="G71" s="2" t="n">
        <v>400</v>
      </c>
      <c r="H71" s="2" t="n">
        <v>121</v>
      </c>
      <c r="I71" s="2" t="n">
        <v>400</v>
      </c>
      <c r="J71" s="2"/>
      <c r="K71" s="2" t="n">
        <v>1</v>
      </c>
      <c r="L71" s="2" t="n">
        <v>1</v>
      </c>
      <c r="M71" s="2" t="n">
        <v>0</v>
      </c>
      <c r="N71" s="2" t="n">
        <v>0</v>
      </c>
      <c r="O71" s="2" t="n">
        <v>0</v>
      </c>
      <c r="P71" s="2" t="n">
        <v>1</v>
      </c>
      <c r="Q71" s="2" t="n">
        <v>1</v>
      </c>
      <c r="R71" s="2" t="n">
        <v>0</v>
      </c>
      <c r="S71" s="2" t="n">
        <f aca="false">A72-A71</f>
        <v>0.200000000000017</v>
      </c>
      <c r="T71" s="2" t="n">
        <f aca="false">C71+Summary!$C$8*D71</f>
        <v>0.4931145</v>
      </c>
      <c r="U71" s="2" t="n">
        <f aca="false">B71*T71</f>
        <v>5.8409412525</v>
      </c>
      <c r="V71" s="2" t="n">
        <f aca="false">B71*C71</f>
        <v>1.030515</v>
      </c>
      <c r="W71" s="2" t="s">
        <v>64</v>
      </c>
      <c r="X71" s="2" t="s">
        <v>10</v>
      </c>
    </row>
    <row r="72" customFormat="false" ht="15" hidden="false" customHeight="false" outlineLevel="0" collapsed="false">
      <c r="A72" s="2" t="n">
        <v>188.84</v>
      </c>
      <c r="B72" s="2" t="n">
        <v>11.834</v>
      </c>
      <c r="C72" s="2" t="n">
        <v>0.143</v>
      </c>
      <c r="D72" s="2" t="n">
        <v>4.851</v>
      </c>
      <c r="E72" s="2" t="n">
        <v>0.068</v>
      </c>
      <c r="F72" s="2" t="n">
        <v>76</v>
      </c>
      <c r="G72" s="2" t="n">
        <v>400</v>
      </c>
      <c r="H72" s="2" t="n">
        <v>134</v>
      </c>
      <c r="I72" s="2" t="n">
        <v>39</v>
      </c>
      <c r="J72" s="2"/>
      <c r="K72" s="2" t="n">
        <v>1</v>
      </c>
      <c r="L72" s="2" t="n">
        <v>1</v>
      </c>
      <c r="M72" s="2" t="n">
        <v>0</v>
      </c>
      <c r="N72" s="2" t="n">
        <v>0</v>
      </c>
      <c r="O72" s="2" t="n">
        <v>0</v>
      </c>
      <c r="P72" s="2" t="n">
        <v>1</v>
      </c>
      <c r="Q72" s="2" t="n">
        <v>1</v>
      </c>
      <c r="R72" s="2" t="n">
        <v>0</v>
      </c>
      <c r="S72" s="2" t="n">
        <f aca="false">A73-A72</f>
        <v>0.199999999999989</v>
      </c>
      <c r="T72" s="2" t="n">
        <f aca="false">C72+Summary!$C$8*D72</f>
        <v>0.5383565</v>
      </c>
      <c r="U72" s="2" t="n">
        <f aca="false">B72*T72</f>
        <v>6.370910821</v>
      </c>
      <c r="V72" s="2" t="n">
        <f aca="false">B72*C72</f>
        <v>1.692262</v>
      </c>
      <c r="W72" s="2" t="s">
        <v>64</v>
      </c>
      <c r="X72" s="2" t="s">
        <v>10</v>
      </c>
    </row>
    <row r="73" customFormat="false" ht="15" hidden="false" customHeight="false" outlineLevel="0" collapsed="false">
      <c r="A73" s="2" t="n">
        <v>189.04</v>
      </c>
      <c r="B73" s="2" t="n">
        <v>11.917</v>
      </c>
      <c r="C73" s="2" t="n">
        <v>-0.186</v>
      </c>
      <c r="D73" s="2" t="n">
        <v>4.78</v>
      </c>
      <c r="E73" s="2" t="n">
        <v>0.068</v>
      </c>
      <c r="F73" s="2" t="n">
        <v>76</v>
      </c>
      <c r="G73" s="2" t="n">
        <v>25</v>
      </c>
      <c r="H73" s="2" t="n">
        <v>16</v>
      </c>
      <c r="I73" s="2" t="n">
        <v>400</v>
      </c>
      <c r="J73" s="2"/>
      <c r="K73" s="2" t="n">
        <v>1</v>
      </c>
      <c r="L73" s="2" t="n">
        <v>1</v>
      </c>
      <c r="M73" s="2" t="n">
        <v>0</v>
      </c>
      <c r="N73" s="2" t="n">
        <v>0</v>
      </c>
      <c r="O73" s="2" t="n">
        <v>0</v>
      </c>
      <c r="P73" s="2" t="n">
        <v>1</v>
      </c>
      <c r="Q73" s="2" t="n">
        <v>1</v>
      </c>
      <c r="R73" s="2" t="n">
        <v>0</v>
      </c>
      <c r="S73" s="2" t="n">
        <f aca="false">A74-A73</f>
        <v>0.200000000000017</v>
      </c>
      <c r="T73" s="2" t="n">
        <f aca="false">C73+Summary!$C$8*D73</f>
        <v>0.20357</v>
      </c>
      <c r="U73" s="2" t="n">
        <f aca="false">B73*T73</f>
        <v>2.42594369</v>
      </c>
      <c r="V73" s="2" t="n">
        <f aca="false">B73*C73</f>
        <v>-2.216562</v>
      </c>
      <c r="W73" s="2" t="s">
        <v>64</v>
      </c>
      <c r="X73" s="2" t="s">
        <v>10</v>
      </c>
    </row>
    <row r="74" customFormat="false" ht="15" hidden="false" customHeight="false" outlineLevel="0" collapsed="false">
      <c r="A74" s="2" t="n">
        <v>189.24</v>
      </c>
      <c r="B74" s="2" t="n">
        <v>11.926</v>
      </c>
      <c r="C74" s="2" t="n">
        <v>-0.188</v>
      </c>
      <c r="D74" s="2" t="n">
        <v>4.729</v>
      </c>
      <c r="E74" s="2" t="n">
        <v>0.04</v>
      </c>
      <c r="F74" s="2" t="n">
        <v>76</v>
      </c>
      <c r="G74" s="2" t="n">
        <v>400</v>
      </c>
      <c r="H74" s="2" t="n">
        <v>400</v>
      </c>
      <c r="I74" s="2" t="n">
        <v>42</v>
      </c>
      <c r="J74" s="2"/>
      <c r="K74" s="2" t="n">
        <v>1</v>
      </c>
      <c r="L74" s="2" t="n">
        <v>1</v>
      </c>
      <c r="M74" s="2" t="n">
        <v>0</v>
      </c>
      <c r="N74" s="2" t="n">
        <v>0</v>
      </c>
      <c r="O74" s="2" t="n">
        <v>0</v>
      </c>
      <c r="P74" s="2" t="n">
        <v>1</v>
      </c>
      <c r="Q74" s="2" t="n">
        <v>1</v>
      </c>
      <c r="R74" s="2" t="n">
        <v>0</v>
      </c>
      <c r="S74" s="2" t="n">
        <f aca="false">A75-A74</f>
        <v>0.199999999999989</v>
      </c>
      <c r="T74" s="2" t="n">
        <f aca="false">C74+Summary!$C$8*D74</f>
        <v>0.1974135</v>
      </c>
      <c r="U74" s="2" t="n">
        <f aca="false">B74*T74</f>
        <v>2.354353401</v>
      </c>
      <c r="V74" s="2" t="n">
        <f aca="false">B74*C74</f>
        <v>-2.242088</v>
      </c>
      <c r="W74" s="2" t="s">
        <v>64</v>
      </c>
      <c r="X74" s="2" t="s">
        <v>10</v>
      </c>
    </row>
    <row r="75" customFormat="false" ht="15" hidden="false" customHeight="false" outlineLevel="0" collapsed="false">
      <c r="A75" s="2" t="n">
        <v>189.44</v>
      </c>
      <c r="B75" s="2" t="n">
        <v>11.948</v>
      </c>
      <c r="C75" s="2" t="n">
        <v>-0.269</v>
      </c>
      <c r="D75" s="2" t="n">
        <v>4.722</v>
      </c>
      <c r="E75" s="2" t="n">
        <v>0.054</v>
      </c>
      <c r="F75" s="2" t="n">
        <v>76</v>
      </c>
      <c r="G75" s="2" t="n">
        <v>400</v>
      </c>
      <c r="H75" s="2" t="n">
        <v>19</v>
      </c>
      <c r="I75" s="2" t="n">
        <v>60</v>
      </c>
      <c r="J75" s="2"/>
      <c r="K75" s="2" t="n">
        <v>1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1</v>
      </c>
      <c r="R75" s="2" t="n">
        <v>0</v>
      </c>
      <c r="S75" s="2" t="n">
        <f aca="false">A76-A75</f>
        <v>0.199999999999989</v>
      </c>
      <c r="T75" s="2" t="n">
        <f aca="false">C75+Summary!$C$8*D75</f>
        <v>0.115843</v>
      </c>
      <c r="U75" s="2" t="n">
        <f aca="false">B75*T75</f>
        <v>1.384092164</v>
      </c>
      <c r="V75" s="2" t="n">
        <f aca="false">B75*C75</f>
        <v>-3.214012</v>
      </c>
      <c r="W75" s="2" t="s">
        <v>64</v>
      </c>
      <c r="X75" s="2" t="s">
        <v>10</v>
      </c>
    </row>
    <row r="76" customFormat="false" ht="15" hidden="false" customHeight="false" outlineLevel="0" collapsed="false">
      <c r="A76" s="2" t="n">
        <v>189.64</v>
      </c>
      <c r="B76" s="2" t="n">
        <v>11.948</v>
      </c>
      <c r="C76" s="2" t="n">
        <v>-0.273</v>
      </c>
      <c r="D76" s="2" t="n">
        <v>4.729</v>
      </c>
      <c r="E76" s="2" t="n">
        <v>0</v>
      </c>
      <c r="F76" s="2" t="n">
        <v>76</v>
      </c>
      <c r="G76" s="2" t="n">
        <v>400</v>
      </c>
      <c r="H76" s="2" t="n">
        <v>400</v>
      </c>
      <c r="I76" s="2" t="n">
        <v>400</v>
      </c>
      <c r="J76" s="2"/>
      <c r="K76" s="2" t="n">
        <v>1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1</v>
      </c>
      <c r="Q76" s="2" t="n">
        <v>1</v>
      </c>
      <c r="R76" s="2" t="n">
        <v>0</v>
      </c>
      <c r="S76" s="2" t="n">
        <f aca="false">A77-A76</f>
        <v>0.200000000000017</v>
      </c>
      <c r="T76" s="2" t="n">
        <f aca="false">C76+Summary!$C$8*D76</f>
        <v>0.1124135</v>
      </c>
      <c r="U76" s="2" t="n">
        <f aca="false">B76*T76</f>
        <v>1.343116498</v>
      </c>
      <c r="V76" s="2" t="n">
        <f aca="false">B76*C76</f>
        <v>-3.261804</v>
      </c>
      <c r="W76" s="2" t="s">
        <v>64</v>
      </c>
      <c r="X76" s="2" t="s">
        <v>10</v>
      </c>
    </row>
    <row r="77" customFormat="false" ht="15" hidden="false" customHeight="false" outlineLevel="0" collapsed="false">
      <c r="A77" s="2" t="n">
        <v>189.84</v>
      </c>
      <c r="B77" s="2" t="n">
        <v>11.948</v>
      </c>
      <c r="C77" s="2" t="n">
        <v>-0.272</v>
      </c>
      <c r="D77" s="2" t="n">
        <v>4.693</v>
      </c>
      <c r="E77" s="2" t="n">
        <v>0</v>
      </c>
      <c r="F77" s="2" t="n">
        <v>76</v>
      </c>
      <c r="G77" s="2" t="n">
        <v>400</v>
      </c>
      <c r="H77" s="2" t="n">
        <v>400</v>
      </c>
      <c r="I77" s="2" t="n">
        <v>400</v>
      </c>
      <c r="J77" s="2"/>
      <c r="K77" s="2" t="n">
        <v>1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1</v>
      </c>
      <c r="Q77" s="2" t="n">
        <v>1</v>
      </c>
      <c r="R77" s="2" t="n">
        <v>0</v>
      </c>
      <c r="S77" s="2" t="n">
        <f aca="false">A78-A77</f>
        <v>0.199999999999989</v>
      </c>
      <c r="T77" s="2" t="n">
        <f aca="false">C77+Summary!$C$8*D77</f>
        <v>0.1104795</v>
      </c>
      <c r="U77" s="2" t="n">
        <f aca="false">B77*T77</f>
        <v>1.320009066</v>
      </c>
      <c r="V77" s="2" t="n">
        <f aca="false">B77*C77</f>
        <v>-3.249856</v>
      </c>
    </row>
    <row r="78" customFormat="false" ht="15" hidden="false" customHeight="false" outlineLevel="0" collapsed="false">
      <c r="A78" s="2" t="n">
        <v>190.04</v>
      </c>
      <c r="B78" s="2" t="n">
        <v>11.952</v>
      </c>
      <c r="C78" s="2" t="n">
        <v>-0.267</v>
      </c>
      <c r="D78" s="2" t="n">
        <v>4.684</v>
      </c>
      <c r="E78" s="2" t="n">
        <v>0</v>
      </c>
      <c r="F78" s="2" t="n">
        <v>76</v>
      </c>
      <c r="G78" s="2" t="n">
        <v>400</v>
      </c>
      <c r="H78" s="2" t="n">
        <v>400</v>
      </c>
      <c r="I78" s="2" t="n">
        <v>400</v>
      </c>
      <c r="J78" s="2"/>
      <c r="K78" s="2" t="n">
        <v>1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1</v>
      </c>
      <c r="Q78" s="2" t="n">
        <v>1</v>
      </c>
      <c r="R78" s="2" t="n">
        <v>0</v>
      </c>
      <c r="S78" s="2" t="n">
        <f aca="false">A79-A78</f>
        <v>0.200000000000017</v>
      </c>
      <c r="T78" s="2" t="n">
        <f aca="false">C78+Summary!$C$8*D78</f>
        <v>0.114746</v>
      </c>
      <c r="U78" s="2" t="n">
        <f aca="false">B78*T78</f>
        <v>1.371444192</v>
      </c>
      <c r="V78" s="2" t="n">
        <f aca="false">B78*C78</f>
        <v>-3.191184</v>
      </c>
    </row>
    <row r="79" customFormat="false" ht="15" hidden="false" customHeight="false" outlineLevel="0" collapsed="false">
      <c r="A79" s="2" t="n">
        <v>190.24</v>
      </c>
      <c r="B79" s="2" t="n">
        <v>11.903</v>
      </c>
      <c r="C79" s="2" t="n">
        <v>-0.123</v>
      </c>
      <c r="D79" s="2" t="n">
        <v>4.66</v>
      </c>
      <c r="E79" s="2" t="n">
        <v>0</v>
      </c>
      <c r="F79" s="2" t="n">
        <v>76</v>
      </c>
      <c r="G79" s="2" t="n">
        <v>400</v>
      </c>
      <c r="H79" s="2" t="n">
        <v>400</v>
      </c>
      <c r="I79" s="2" t="n">
        <v>400</v>
      </c>
      <c r="J79" s="2"/>
      <c r="K79" s="2" t="n">
        <v>1</v>
      </c>
      <c r="L79" s="2" t="n">
        <v>1</v>
      </c>
      <c r="M79" s="2" t="n">
        <v>0</v>
      </c>
      <c r="N79" s="2" t="n">
        <v>0</v>
      </c>
      <c r="O79" s="2" t="n">
        <v>0</v>
      </c>
      <c r="P79" s="2" t="n">
        <v>1</v>
      </c>
      <c r="Q79" s="2" t="n">
        <v>1</v>
      </c>
      <c r="R79" s="2" t="n">
        <v>0</v>
      </c>
      <c r="S79" s="2" t="n">
        <f aca="false">A80-A79</f>
        <v>0.199999999999989</v>
      </c>
      <c r="T79" s="2" t="n">
        <f aca="false">C79+Summary!$C$8*D79</f>
        <v>0.25679</v>
      </c>
      <c r="U79" s="2" t="n">
        <f aca="false">B79*T79</f>
        <v>3.05657137</v>
      </c>
      <c r="V79" s="2" t="n">
        <f aca="false">B79*C79</f>
        <v>-1.464069</v>
      </c>
      <c r="W79" s="2" t="s">
        <v>66</v>
      </c>
      <c r="X79" s="2" t="s">
        <v>10</v>
      </c>
    </row>
    <row r="80" customFormat="false" ht="15" hidden="false" customHeight="false" outlineLevel="0" collapsed="false">
      <c r="A80" s="2" t="n">
        <v>190.44</v>
      </c>
      <c r="B80" s="2" t="n">
        <v>11.698</v>
      </c>
      <c r="C80" s="2" t="n">
        <v>0.621</v>
      </c>
      <c r="D80" s="2" t="n">
        <v>4.551</v>
      </c>
      <c r="E80" s="2" t="n">
        <v>0</v>
      </c>
      <c r="F80" s="2" t="n">
        <v>76</v>
      </c>
      <c r="G80" s="2" t="n">
        <v>400</v>
      </c>
      <c r="H80" s="2" t="n">
        <v>400</v>
      </c>
      <c r="I80" s="2" t="n">
        <v>40</v>
      </c>
      <c r="J80" s="2"/>
      <c r="K80" s="2" t="n">
        <v>1</v>
      </c>
      <c r="L80" s="2" t="n">
        <v>1</v>
      </c>
      <c r="M80" s="2" t="n">
        <v>0</v>
      </c>
      <c r="N80" s="2" t="n">
        <v>0</v>
      </c>
      <c r="O80" s="2" t="n">
        <v>0</v>
      </c>
      <c r="P80" s="2" t="n">
        <v>1</v>
      </c>
      <c r="Q80" s="2" t="n">
        <v>1</v>
      </c>
      <c r="R80" s="2" t="n">
        <v>0</v>
      </c>
      <c r="S80" s="2" t="n">
        <f aca="false">A81-A80</f>
        <v>0.199999999999989</v>
      </c>
      <c r="T80" s="2" t="n">
        <f aca="false">C80+Summary!$C$8*D80</f>
        <v>0.9919065</v>
      </c>
      <c r="U80" s="2" t="n">
        <f aca="false">B80*T80</f>
        <v>11.603322237</v>
      </c>
      <c r="V80" s="2" t="n">
        <f aca="false">B80*C80</f>
        <v>7.264458</v>
      </c>
      <c r="W80" s="2" t="s">
        <v>66</v>
      </c>
      <c r="X80" s="2" t="s">
        <v>10</v>
      </c>
    </row>
    <row r="81" customFormat="false" ht="15" hidden="false" customHeight="false" outlineLevel="0" collapsed="false">
      <c r="A81" s="2" t="n">
        <v>190.64</v>
      </c>
      <c r="B81" s="2" t="n">
        <v>11.661</v>
      </c>
      <c r="C81" s="2" t="n">
        <v>0.643</v>
      </c>
      <c r="D81" s="2" t="n">
        <v>4.542</v>
      </c>
      <c r="E81" s="2" t="n">
        <v>0.108</v>
      </c>
      <c r="F81" s="2" t="n">
        <v>76</v>
      </c>
      <c r="G81" s="2" t="n">
        <v>400</v>
      </c>
      <c r="H81" s="2" t="n">
        <v>23</v>
      </c>
      <c r="I81" s="2" t="n">
        <v>37</v>
      </c>
      <c r="J81" s="2"/>
      <c r="K81" s="2" t="n">
        <v>1</v>
      </c>
      <c r="L81" s="2" t="n">
        <v>1</v>
      </c>
      <c r="M81" s="2" t="n">
        <v>0</v>
      </c>
      <c r="N81" s="2" t="n">
        <v>0</v>
      </c>
      <c r="O81" s="2" t="n">
        <v>0</v>
      </c>
      <c r="P81" s="2" t="n">
        <v>1</v>
      </c>
      <c r="Q81" s="2" t="n">
        <v>1</v>
      </c>
      <c r="R81" s="2" t="n">
        <v>0</v>
      </c>
      <c r="S81" s="2" t="n">
        <f aca="false">A82-A81</f>
        <v>0.200000000000017</v>
      </c>
      <c r="T81" s="2" t="n">
        <f aca="false">C81+Summary!$C$8*D81</f>
        <v>1.013173</v>
      </c>
      <c r="U81" s="2" t="n">
        <f aca="false">B81*T81</f>
        <v>11.814610353</v>
      </c>
      <c r="V81" s="2" t="n">
        <f aca="false">B81*C81</f>
        <v>7.498023</v>
      </c>
      <c r="W81" s="2" t="s">
        <v>66</v>
      </c>
      <c r="X81" s="2" t="s">
        <v>10</v>
      </c>
    </row>
    <row r="82" customFormat="false" ht="15" hidden="false" customHeight="false" outlineLevel="0" collapsed="false">
      <c r="A82" s="2" t="n">
        <v>190.84</v>
      </c>
      <c r="B82" s="2" t="n">
        <v>11.755</v>
      </c>
      <c r="C82" s="2" t="n">
        <v>0.276</v>
      </c>
      <c r="D82" s="2" t="n">
        <v>4.434</v>
      </c>
      <c r="E82" s="2" t="n">
        <v>0.217</v>
      </c>
      <c r="F82" s="2" t="n">
        <v>76</v>
      </c>
      <c r="G82" s="2" t="n">
        <v>400</v>
      </c>
      <c r="H82" s="2" t="n">
        <v>400</v>
      </c>
      <c r="I82" s="2" t="n">
        <v>400</v>
      </c>
      <c r="J82" s="2"/>
      <c r="K82" s="2" t="n">
        <v>1</v>
      </c>
      <c r="L82" s="2" t="n">
        <v>1</v>
      </c>
      <c r="M82" s="2" t="n">
        <v>0</v>
      </c>
      <c r="N82" s="2" t="n">
        <v>0</v>
      </c>
      <c r="O82" s="2" t="n">
        <v>0</v>
      </c>
      <c r="P82" s="2" t="n">
        <v>1</v>
      </c>
      <c r="Q82" s="2" t="n">
        <v>1</v>
      </c>
      <c r="R82" s="2" t="n">
        <v>0</v>
      </c>
      <c r="S82" s="2" t="n">
        <f aca="false">A83-A82</f>
        <v>0.199999999999989</v>
      </c>
      <c r="T82" s="2" t="n">
        <f aca="false">C82+Summary!$C$8*D82</f>
        <v>0.637371</v>
      </c>
      <c r="U82" s="2" t="n">
        <f aca="false">B82*T82</f>
        <v>7.492296105</v>
      </c>
      <c r="V82" s="2" t="n">
        <f aca="false">B82*C82</f>
        <v>3.24438</v>
      </c>
      <c r="W82" s="2" t="s">
        <v>66</v>
      </c>
      <c r="X82" s="2" t="s">
        <v>10</v>
      </c>
    </row>
    <row r="83" customFormat="false" ht="15" hidden="false" customHeight="false" outlineLevel="0" collapsed="false">
      <c r="A83" s="2" t="n">
        <v>191.04</v>
      </c>
      <c r="B83" s="2" t="n">
        <v>11.821</v>
      </c>
      <c r="C83" s="2" t="n">
        <v>0.154</v>
      </c>
      <c r="D83" s="2" t="n">
        <v>4.387</v>
      </c>
      <c r="E83" s="2" t="n">
        <v>0.217</v>
      </c>
      <c r="F83" s="2" t="n">
        <v>76</v>
      </c>
      <c r="G83" s="2" t="n">
        <v>400</v>
      </c>
      <c r="H83" s="2" t="n">
        <v>400</v>
      </c>
      <c r="I83" s="2" t="n">
        <v>400</v>
      </c>
      <c r="J83" s="2"/>
      <c r="K83" s="2" t="n">
        <v>1</v>
      </c>
      <c r="L83" s="2" t="n">
        <v>1</v>
      </c>
      <c r="M83" s="2" t="n">
        <v>0</v>
      </c>
      <c r="N83" s="2" t="n">
        <v>0</v>
      </c>
      <c r="O83" s="2" t="n">
        <v>0</v>
      </c>
      <c r="P83" s="2" t="n">
        <v>1</v>
      </c>
      <c r="Q83" s="2" t="n">
        <v>1</v>
      </c>
      <c r="R83" s="2" t="n">
        <v>0</v>
      </c>
      <c r="S83" s="2" t="n">
        <f aca="false">A84-A83</f>
        <v>0.200000000000017</v>
      </c>
      <c r="T83" s="2" t="n">
        <f aca="false">C83+Summary!$C$8*D83</f>
        <v>0.5115405</v>
      </c>
      <c r="U83" s="2" t="n">
        <f aca="false">B83*T83</f>
        <v>6.0469202505</v>
      </c>
      <c r="V83" s="2" t="n">
        <f aca="false">B83*C83</f>
        <v>1.820434</v>
      </c>
      <c r="W83" s="2" t="s">
        <v>66</v>
      </c>
      <c r="X83" s="2" t="s">
        <v>10</v>
      </c>
    </row>
    <row r="84" customFormat="false" ht="15" hidden="false" customHeight="false" outlineLevel="0" collapsed="false">
      <c r="A84" s="2" t="n">
        <v>191.24</v>
      </c>
      <c r="B84" s="2" t="n">
        <v>11.773</v>
      </c>
      <c r="C84" s="2" t="n">
        <v>0.184</v>
      </c>
      <c r="D84" s="2" t="n">
        <v>4.165</v>
      </c>
      <c r="E84" s="2" t="n">
        <v>0.231</v>
      </c>
      <c r="F84" s="2" t="n">
        <v>76</v>
      </c>
      <c r="G84" s="2" t="n">
        <v>400</v>
      </c>
      <c r="H84" s="2" t="n">
        <v>27</v>
      </c>
      <c r="I84" s="2" t="n">
        <v>400</v>
      </c>
      <c r="J84" s="2"/>
      <c r="K84" s="2" t="n">
        <v>1</v>
      </c>
      <c r="L84" s="2" t="n">
        <v>1</v>
      </c>
      <c r="M84" s="2" t="n">
        <v>0</v>
      </c>
      <c r="N84" s="2" t="n">
        <v>0</v>
      </c>
      <c r="O84" s="2" t="n">
        <v>0</v>
      </c>
      <c r="P84" s="2" t="n">
        <v>1</v>
      </c>
      <c r="Q84" s="2" t="n">
        <v>1</v>
      </c>
      <c r="R84" s="2" t="n">
        <v>0</v>
      </c>
      <c r="S84" s="2" t="n">
        <f aca="false">A85-A84</f>
        <v>0.199999999999989</v>
      </c>
      <c r="T84" s="2" t="n">
        <f aca="false">C84+Summary!$C$8*D84</f>
        <v>0.5234475</v>
      </c>
      <c r="U84" s="2" t="n">
        <f aca="false">B84*T84</f>
        <v>6.1625474175</v>
      </c>
      <c r="V84" s="2" t="n">
        <f aca="false">B84*C84</f>
        <v>2.166232</v>
      </c>
      <c r="W84" s="2" t="s">
        <v>66</v>
      </c>
      <c r="X84" s="2" t="s">
        <v>10</v>
      </c>
    </row>
    <row r="85" customFormat="false" ht="15" hidden="false" customHeight="false" outlineLevel="0" collapsed="false">
      <c r="A85" s="2" t="n">
        <v>191.44</v>
      </c>
      <c r="B85" s="2" t="n">
        <v>11.84</v>
      </c>
      <c r="C85" s="2" t="n">
        <v>0.085</v>
      </c>
      <c r="D85" s="2" t="n">
        <v>4.157</v>
      </c>
      <c r="E85" s="2" t="n">
        <v>0.19</v>
      </c>
      <c r="F85" s="2" t="n">
        <v>76</v>
      </c>
      <c r="G85" s="2" t="n">
        <v>400</v>
      </c>
      <c r="H85" s="2" t="n">
        <v>21</v>
      </c>
      <c r="I85" s="2" t="n">
        <v>20</v>
      </c>
      <c r="J85" s="2"/>
      <c r="K85" s="2" t="n">
        <v>1</v>
      </c>
      <c r="L85" s="2" t="n">
        <v>1</v>
      </c>
      <c r="M85" s="2" t="n">
        <v>0</v>
      </c>
      <c r="N85" s="2" t="n">
        <v>0</v>
      </c>
      <c r="O85" s="2" t="n">
        <v>0</v>
      </c>
      <c r="P85" s="2" t="n">
        <v>1</v>
      </c>
      <c r="Q85" s="2" t="n">
        <v>1</v>
      </c>
      <c r="R85" s="2" t="n">
        <v>0</v>
      </c>
      <c r="S85" s="2" t="n">
        <f aca="false">A86-A85</f>
        <v>0.199999999999989</v>
      </c>
      <c r="T85" s="2" t="n">
        <f aca="false">C85+Summary!$C$8*D85</f>
        <v>0.4237955</v>
      </c>
      <c r="U85" s="2" t="n">
        <f aca="false">B85*T85</f>
        <v>5.01773872</v>
      </c>
      <c r="V85" s="2" t="n">
        <f aca="false">B85*C85</f>
        <v>1.0064</v>
      </c>
      <c r="W85" s="2" t="s">
        <v>66</v>
      </c>
      <c r="X85" s="2" t="s">
        <v>10</v>
      </c>
    </row>
    <row r="86" customFormat="false" ht="15" hidden="false" customHeight="false" outlineLevel="0" collapsed="false">
      <c r="A86" s="2" t="n">
        <v>191.64</v>
      </c>
      <c r="B86" s="2" t="n">
        <v>11.821</v>
      </c>
      <c r="C86" s="2" t="n">
        <v>0.152</v>
      </c>
      <c r="D86" s="2" t="n">
        <v>4.237</v>
      </c>
      <c r="E86" s="2" t="n">
        <v>0.149</v>
      </c>
      <c r="F86" s="2" t="n">
        <v>76</v>
      </c>
      <c r="G86" s="2" t="n">
        <v>400</v>
      </c>
      <c r="H86" s="2" t="n">
        <v>400</v>
      </c>
      <c r="I86" s="2" t="n">
        <v>400</v>
      </c>
      <c r="J86" s="2"/>
      <c r="K86" s="2" t="n">
        <v>1</v>
      </c>
      <c r="L86" s="2" t="n">
        <v>1</v>
      </c>
      <c r="M86" s="2" t="n">
        <v>0</v>
      </c>
      <c r="N86" s="2" t="n">
        <v>0</v>
      </c>
      <c r="O86" s="2" t="n">
        <v>0</v>
      </c>
      <c r="P86" s="2" t="n">
        <v>1</v>
      </c>
      <c r="Q86" s="2" t="n">
        <v>1</v>
      </c>
      <c r="R86" s="2" t="n">
        <v>0</v>
      </c>
      <c r="S86" s="2" t="n">
        <f aca="false">A87-A86</f>
        <v>0.200000000000017</v>
      </c>
      <c r="T86" s="2" t="n">
        <f aca="false">C86+Summary!$C$8*D86</f>
        <v>0.4973155</v>
      </c>
      <c r="U86" s="2" t="n">
        <f aca="false">B86*T86</f>
        <v>5.8787665255</v>
      </c>
      <c r="V86" s="2" t="n">
        <f aca="false">B86*C86</f>
        <v>1.796792</v>
      </c>
      <c r="W86" s="2" t="s">
        <v>66</v>
      </c>
      <c r="X86" s="2" t="s">
        <v>10</v>
      </c>
    </row>
    <row r="87" customFormat="false" ht="15" hidden="false" customHeight="false" outlineLevel="0" collapsed="false">
      <c r="A87" s="2" t="n">
        <v>191.84</v>
      </c>
      <c r="B87" s="2" t="n">
        <v>11.798</v>
      </c>
      <c r="C87" s="2" t="n">
        <v>0.134</v>
      </c>
      <c r="D87" s="2" t="n">
        <v>4.296</v>
      </c>
      <c r="E87" s="2" t="n">
        <v>0.163</v>
      </c>
      <c r="F87" s="2" t="n">
        <v>76</v>
      </c>
      <c r="G87" s="2" t="n">
        <v>400</v>
      </c>
      <c r="H87" s="2" t="n">
        <v>30</v>
      </c>
      <c r="I87" s="2" t="n">
        <v>400</v>
      </c>
      <c r="J87" s="2"/>
      <c r="K87" s="2" t="n">
        <v>1</v>
      </c>
      <c r="L87" s="2" t="n">
        <v>1</v>
      </c>
      <c r="M87" s="2" t="n">
        <v>0</v>
      </c>
      <c r="N87" s="2" t="n">
        <v>0</v>
      </c>
      <c r="O87" s="2" t="n">
        <v>0</v>
      </c>
      <c r="P87" s="2" t="n">
        <v>1</v>
      </c>
      <c r="Q87" s="2" t="n">
        <v>1</v>
      </c>
      <c r="R87" s="2" t="n">
        <v>0</v>
      </c>
      <c r="S87" s="2" t="n">
        <f aca="false">A88-A87</f>
        <v>0.199999999999989</v>
      </c>
      <c r="T87" s="2" t="n">
        <f aca="false">C87+Summary!$C$8*D87</f>
        <v>0.484124</v>
      </c>
      <c r="U87" s="2" t="n">
        <f aca="false">B87*T87</f>
        <v>5.711694952</v>
      </c>
      <c r="V87" s="2" t="n">
        <f aca="false">B87*C87</f>
        <v>1.580932</v>
      </c>
      <c r="W87" s="2" t="s">
        <v>66</v>
      </c>
      <c r="X87" s="2" t="s">
        <v>10</v>
      </c>
    </row>
    <row r="88" customFormat="false" ht="15" hidden="false" customHeight="false" outlineLevel="0" collapsed="false">
      <c r="A88" s="2" t="n">
        <v>192.04</v>
      </c>
      <c r="B88" s="2" t="n">
        <v>11.808</v>
      </c>
      <c r="C88" s="2" t="n">
        <v>0.149</v>
      </c>
      <c r="D88" s="2" t="n">
        <v>4.372</v>
      </c>
      <c r="E88" s="2" t="n">
        <v>0.163</v>
      </c>
      <c r="F88" s="2" t="n">
        <v>76</v>
      </c>
      <c r="G88" s="2" t="n">
        <v>400</v>
      </c>
      <c r="H88" s="2" t="n">
        <v>400</v>
      </c>
      <c r="I88" s="2" t="n">
        <v>35</v>
      </c>
      <c r="J88" s="2"/>
      <c r="K88" s="2" t="n">
        <v>1</v>
      </c>
      <c r="L88" s="2" t="n">
        <v>1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1</v>
      </c>
      <c r="R88" s="2" t="n">
        <v>0</v>
      </c>
      <c r="S88" s="2" t="n">
        <f aca="false">A89-A88</f>
        <v>0.200000000000017</v>
      </c>
      <c r="T88" s="2" t="n">
        <f aca="false">C88+Summary!$C$8*D88</f>
        <v>0.505318</v>
      </c>
      <c r="U88" s="2" t="n">
        <f aca="false">B88*T88</f>
        <v>5.966794944</v>
      </c>
      <c r="V88" s="2" t="n">
        <f aca="false">B88*C88</f>
        <v>1.759392</v>
      </c>
      <c r="W88" s="2" t="s">
        <v>66</v>
      </c>
      <c r="X88" s="2" t="s">
        <v>10</v>
      </c>
    </row>
    <row r="89" customFormat="false" ht="15" hidden="false" customHeight="false" outlineLevel="0" collapsed="false">
      <c r="A89" s="2" t="n">
        <v>192.24</v>
      </c>
      <c r="B89" s="2" t="n">
        <v>11.795</v>
      </c>
      <c r="C89" s="2" t="n">
        <v>0.181</v>
      </c>
      <c r="D89" s="2" t="n">
        <v>4.326</v>
      </c>
      <c r="E89" s="2" t="n">
        <v>0.163</v>
      </c>
      <c r="F89" s="2" t="n">
        <v>76</v>
      </c>
      <c r="G89" s="2" t="n">
        <v>400</v>
      </c>
      <c r="H89" s="2" t="n">
        <v>59</v>
      </c>
      <c r="I89" s="2" t="n">
        <v>400</v>
      </c>
      <c r="J89" s="2"/>
      <c r="K89" s="2" t="n">
        <v>1</v>
      </c>
      <c r="L89" s="2" t="n">
        <v>1</v>
      </c>
      <c r="M89" s="2" t="n">
        <v>0</v>
      </c>
      <c r="N89" s="2" t="n">
        <v>0</v>
      </c>
      <c r="O89" s="2" t="n">
        <v>0</v>
      </c>
      <c r="P89" s="2" t="n">
        <v>1</v>
      </c>
      <c r="Q89" s="2" t="n">
        <v>1</v>
      </c>
      <c r="R89" s="2" t="n">
        <v>0</v>
      </c>
      <c r="S89" s="2" t="n">
        <f aca="false">A90-A89</f>
        <v>0.199999999999989</v>
      </c>
      <c r="T89" s="2" t="n">
        <f aca="false">C89+Summary!$C$8*D89</f>
        <v>0.533569</v>
      </c>
      <c r="U89" s="2" t="n">
        <f aca="false">B89*T89</f>
        <v>6.293446355</v>
      </c>
      <c r="V89" s="2" t="n">
        <f aca="false">B89*C89</f>
        <v>2.134895</v>
      </c>
      <c r="W89" s="2" t="s">
        <v>66</v>
      </c>
      <c r="X89" s="2" t="s">
        <v>10</v>
      </c>
    </row>
    <row r="90" customFormat="false" ht="15" hidden="false" customHeight="false" outlineLevel="0" collapsed="false">
      <c r="A90" s="2" t="n">
        <v>192.44</v>
      </c>
      <c r="B90" s="2" t="n">
        <v>11.71</v>
      </c>
      <c r="C90" s="2" t="n">
        <v>0.506</v>
      </c>
      <c r="D90" s="2" t="n">
        <v>4.303</v>
      </c>
      <c r="E90" s="2" t="n">
        <v>0.095</v>
      </c>
      <c r="F90" s="2" t="n">
        <v>76</v>
      </c>
      <c r="G90" s="2" t="n">
        <v>400</v>
      </c>
      <c r="H90" s="2" t="n">
        <v>400</v>
      </c>
      <c r="I90" s="2" t="n">
        <v>400</v>
      </c>
      <c r="J90" s="2"/>
      <c r="K90" s="2" t="n">
        <v>1</v>
      </c>
      <c r="L90" s="2" t="n">
        <v>1</v>
      </c>
      <c r="M90" s="2" t="n">
        <v>0</v>
      </c>
      <c r="N90" s="2" t="n">
        <v>0</v>
      </c>
      <c r="O90" s="2" t="n">
        <v>0</v>
      </c>
      <c r="P90" s="2" t="n">
        <v>1</v>
      </c>
      <c r="Q90" s="2" t="n">
        <v>1</v>
      </c>
      <c r="R90" s="2" t="n">
        <v>0</v>
      </c>
      <c r="S90" s="2" t="n">
        <f aca="false">A91-A90</f>
        <v>0.199999999999989</v>
      </c>
      <c r="T90" s="2" t="n">
        <f aca="false">C90+Summary!$C$8*D90</f>
        <v>0.8566945</v>
      </c>
      <c r="U90" s="2" t="n">
        <f aca="false">B90*T90</f>
        <v>10.031892595</v>
      </c>
      <c r="V90" s="2" t="n">
        <f aca="false">B90*C90</f>
        <v>5.92526</v>
      </c>
      <c r="W90" s="2" t="s">
        <v>66</v>
      </c>
      <c r="X90" s="2" t="s">
        <v>10</v>
      </c>
    </row>
    <row r="91" customFormat="false" ht="15" hidden="false" customHeight="false" outlineLevel="0" collapsed="false">
      <c r="A91" s="2" t="n">
        <v>192.64</v>
      </c>
      <c r="B91" s="2" t="n">
        <v>11.904</v>
      </c>
      <c r="C91" s="2" t="n">
        <v>-0.157</v>
      </c>
      <c r="D91" s="2" t="n">
        <v>4.214</v>
      </c>
      <c r="E91" s="2" t="n">
        <v>0.245</v>
      </c>
      <c r="F91" s="2" t="n">
        <v>76</v>
      </c>
      <c r="G91" s="2" t="n">
        <v>400</v>
      </c>
      <c r="H91" s="2" t="n">
        <v>400</v>
      </c>
      <c r="I91" s="2" t="n">
        <v>400</v>
      </c>
      <c r="J91" s="2"/>
      <c r="K91" s="2" t="n">
        <v>1</v>
      </c>
      <c r="L91" s="2" t="n">
        <v>1</v>
      </c>
      <c r="M91" s="2" t="n">
        <v>0</v>
      </c>
      <c r="N91" s="2" t="n">
        <v>0</v>
      </c>
      <c r="O91" s="2" t="n">
        <v>0</v>
      </c>
      <c r="P91" s="2" t="n">
        <v>1</v>
      </c>
      <c r="Q91" s="2" t="n">
        <v>1</v>
      </c>
      <c r="R91" s="2" t="n">
        <v>0</v>
      </c>
      <c r="S91" s="2" t="n">
        <f aca="false">A92-A91</f>
        <v>0.200000000000017</v>
      </c>
      <c r="T91" s="2" t="n">
        <f aca="false">C91+Summary!$C$8*D91</f>
        <v>0.186441</v>
      </c>
      <c r="U91" s="2" t="n">
        <f aca="false">B91*T91</f>
        <v>2.219393664</v>
      </c>
      <c r="V91" s="2" t="n">
        <f aca="false">B91*C91</f>
        <v>-1.868928</v>
      </c>
      <c r="W91" s="2" t="s">
        <v>66</v>
      </c>
      <c r="X91" s="2" t="s">
        <v>10</v>
      </c>
    </row>
    <row r="92" customFormat="false" ht="15" hidden="false" customHeight="false" outlineLevel="0" collapsed="false">
      <c r="A92" s="2" t="n">
        <v>192.84</v>
      </c>
      <c r="B92" s="2" t="n">
        <v>11.926</v>
      </c>
      <c r="C92" s="2" t="n">
        <v>-0.207</v>
      </c>
      <c r="D92" s="2" t="n">
        <v>4.186</v>
      </c>
      <c r="E92" s="2" t="n">
        <v>0.19</v>
      </c>
      <c r="F92" s="2" t="n">
        <v>76</v>
      </c>
      <c r="G92" s="2" t="n">
        <v>400</v>
      </c>
      <c r="H92" s="2" t="n">
        <v>36</v>
      </c>
      <c r="I92" s="2" t="n">
        <v>400</v>
      </c>
      <c r="J92" s="2"/>
      <c r="K92" s="2" t="n">
        <v>1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1</v>
      </c>
      <c r="Q92" s="2" t="n">
        <v>1</v>
      </c>
      <c r="R92" s="2" t="n">
        <v>0</v>
      </c>
      <c r="S92" s="2" t="n">
        <f aca="false">A93-A92</f>
        <v>0.199999999999989</v>
      </c>
      <c r="T92" s="2" t="n">
        <f aca="false">C92+Summary!$C$8*D92</f>
        <v>0.134159</v>
      </c>
      <c r="U92" s="2" t="n">
        <f aca="false">B92*T92</f>
        <v>1.599980234</v>
      </c>
      <c r="V92" s="2" t="n">
        <f aca="false">B92*C92</f>
        <v>-2.468682</v>
      </c>
      <c r="W92" s="2" t="s">
        <v>66</v>
      </c>
      <c r="X92" s="2" t="s">
        <v>10</v>
      </c>
    </row>
    <row r="93" customFormat="false" ht="15" hidden="false" customHeight="false" outlineLevel="0" collapsed="false">
      <c r="A93" s="2" t="n">
        <v>193.04</v>
      </c>
      <c r="B93" s="2" t="n">
        <v>11.929</v>
      </c>
      <c r="C93" s="2" t="n">
        <v>-0.223</v>
      </c>
      <c r="D93" s="2" t="n">
        <v>4.085</v>
      </c>
      <c r="E93" s="2" t="n">
        <v>0.19</v>
      </c>
      <c r="F93" s="2" t="n">
        <v>76</v>
      </c>
      <c r="G93" s="2" t="n">
        <v>400</v>
      </c>
      <c r="H93" s="2" t="n">
        <v>21</v>
      </c>
      <c r="I93" s="2" t="n">
        <v>400</v>
      </c>
      <c r="J93" s="2"/>
      <c r="K93" s="2" t="n">
        <v>1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1</v>
      </c>
      <c r="Q93" s="2" t="n">
        <v>1</v>
      </c>
      <c r="R93" s="2" t="n">
        <v>0</v>
      </c>
      <c r="S93" s="2" t="n">
        <f aca="false">A94-A93</f>
        <v>0.200000000000017</v>
      </c>
      <c r="T93" s="2" t="n">
        <f aca="false">C93+Summary!$C$8*D93</f>
        <v>0.1099275</v>
      </c>
      <c r="U93" s="2" t="n">
        <f aca="false">B93*T93</f>
        <v>1.3113251475</v>
      </c>
      <c r="V93" s="2" t="n">
        <f aca="false">B93*C93</f>
        <v>-2.660167</v>
      </c>
      <c r="W93" s="2" t="s">
        <v>66</v>
      </c>
      <c r="X93" s="2" t="s">
        <v>10</v>
      </c>
    </row>
    <row r="94" customFormat="false" ht="15" hidden="false" customHeight="false" outlineLevel="0" collapsed="false">
      <c r="A94" s="2" t="n">
        <v>193.24</v>
      </c>
      <c r="B94" s="2" t="n">
        <v>11.929</v>
      </c>
      <c r="C94" s="2" t="n">
        <v>-0.22</v>
      </c>
      <c r="D94" s="2" t="n">
        <v>4.056</v>
      </c>
      <c r="E94" s="2" t="n">
        <v>0.081</v>
      </c>
      <c r="F94" s="2" t="n">
        <v>76</v>
      </c>
      <c r="G94" s="2" t="n">
        <v>400</v>
      </c>
      <c r="H94" s="2" t="n">
        <v>36</v>
      </c>
      <c r="I94" s="2" t="n">
        <v>400</v>
      </c>
      <c r="J94" s="2"/>
      <c r="K94" s="2" t="n">
        <v>1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</v>
      </c>
      <c r="Q94" s="2" t="n">
        <v>1</v>
      </c>
      <c r="R94" s="2" t="n">
        <v>0</v>
      </c>
      <c r="S94" s="2" t="n">
        <f aca="false">A95-A94</f>
        <v>0.199999999999989</v>
      </c>
      <c r="T94" s="2" t="n">
        <f aca="false">C94+Summary!$C$8*D94</f>
        <v>0.110564</v>
      </c>
      <c r="U94" s="2" t="n">
        <f aca="false">B94*T94</f>
        <v>1.318917956</v>
      </c>
      <c r="V94" s="2" t="n">
        <f aca="false">B94*C94</f>
        <v>-2.62438</v>
      </c>
      <c r="W94" s="2" t="s">
        <v>66</v>
      </c>
      <c r="X94" s="2" t="s">
        <v>10</v>
      </c>
    </row>
    <row r="95" customFormat="false" ht="15" hidden="false" customHeight="false" outlineLevel="0" collapsed="false">
      <c r="A95" s="2" t="n">
        <v>193.44</v>
      </c>
      <c r="B95" s="2" t="n">
        <v>11.93</v>
      </c>
      <c r="C95" s="2" t="n">
        <v>-0.217</v>
      </c>
      <c r="D95" s="2" t="n">
        <v>4.017</v>
      </c>
      <c r="E95" s="2" t="n">
        <v>0</v>
      </c>
      <c r="F95" s="2" t="n">
        <v>76</v>
      </c>
      <c r="G95" s="2" t="n">
        <v>400</v>
      </c>
      <c r="H95" s="2" t="n">
        <v>36</v>
      </c>
      <c r="I95" s="2" t="n">
        <v>400</v>
      </c>
      <c r="J95" s="2"/>
      <c r="K95" s="2" t="n">
        <v>1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1</v>
      </c>
      <c r="Q95" s="2" t="n">
        <v>1</v>
      </c>
      <c r="R95" s="2" t="n">
        <v>0</v>
      </c>
      <c r="S95" s="2" t="n">
        <f aca="false">A96-A95</f>
        <v>0.199999999999989</v>
      </c>
      <c r="T95" s="2" t="n">
        <f aca="false">C95+Summary!$C$8*D95</f>
        <v>0.1103855</v>
      </c>
      <c r="U95" s="2" t="n">
        <f aca="false">B95*T95</f>
        <v>1.316899015</v>
      </c>
      <c r="V95" s="2" t="n">
        <f aca="false">B95*C95</f>
        <v>-2.58881</v>
      </c>
      <c r="W95" s="2" t="s">
        <v>66</v>
      </c>
      <c r="X95" s="2" t="s">
        <v>10</v>
      </c>
    </row>
    <row r="96" customFormat="false" ht="15" hidden="false" customHeight="false" outlineLevel="0" collapsed="false">
      <c r="A96" s="2" t="n">
        <v>193.64</v>
      </c>
      <c r="B96" s="2" t="n">
        <v>11.918</v>
      </c>
      <c r="C96" s="2" t="n">
        <v>-0.211</v>
      </c>
      <c r="D96" s="2" t="n">
        <v>3.998</v>
      </c>
      <c r="E96" s="2" t="n">
        <v>0</v>
      </c>
      <c r="F96" s="2" t="n">
        <v>76</v>
      </c>
      <c r="G96" s="2" t="n">
        <v>400</v>
      </c>
      <c r="H96" s="2" t="n">
        <v>36</v>
      </c>
      <c r="I96" s="2" t="n">
        <v>400</v>
      </c>
      <c r="J96" s="2"/>
      <c r="K96" s="2" t="n">
        <v>1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1</v>
      </c>
      <c r="Q96" s="2" t="n">
        <v>1</v>
      </c>
      <c r="R96" s="2" t="n">
        <v>0</v>
      </c>
      <c r="S96" s="2" t="n">
        <f aca="false">A97-A96</f>
        <v>0.200000000000017</v>
      </c>
      <c r="T96" s="2" t="n">
        <f aca="false">C96+Summary!$C$8*D96</f>
        <v>0.114837</v>
      </c>
      <c r="U96" s="2" t="n">
        <f aca="false">B96*T96</f>
        <v>1.368627366</v>
      </c>
      <c r="V96" s="2" t="n">
        <f aca="false">B96*C96</f>
        <v>-2.514698</v>
      </c>
    </row>
    <row r="97" customFormat="false" ht="15" hidden="false" customHeight="false" outlineLevel="0" collapsed="false">
      <c r="A97" s="2" t="n">
        <v>193.84</v>
      </c>
      <c r="B97" s="2" t="n">
        <v>11.93</v>
      </c>
      <c r="C97" s="2" t="n">
        <v>-0.214</v>
      </c>
      <c r="D97" s="2" t="n">
        <v>3.979</v>
      </c>
      <c r="E97" s="2" t="n">
        <v>0</v>
      </c>
      <c r="F97" s="2" t="n">
        <v>76</v>
      </c>
      <c r="G97" s="2" t="n">
        <v>400</v>
      </c>
      <c r="H97" s="2" t="n">
        <v>36</v>
      </c>
      <c r="I97" s="2" t="n">
        <v>400</v>
      </c>
      <c r="J97" s="2"/>
      <c r="K97" s="2" t="n">
        <v>1</v>
      </c>
      <c r="L97" s="2" t="n">
        <v>1</v>
      </c>
      <c r="M97" s="2" t="n">
        <v>0</v>
      </c>
      <c r="N97" s="2" t="n">
        <v>0</v>
      </c>
      <c r="O97" s="2" t="n">
        <v>0</v>
      </c>
      <c r="P97" s="2" t="n">
        <v>1</v>
      </c>
      <c r="Q97" s="2" t="n">
        <v>1</v>
      </c>
      <c r="R97" s="2" t="n">
        <v>0</v>
      </c>
      <c r="S97" s="2" t="n">
        <f aca="false">A98-A97</f>
        <v>0.199999999999989</v>
      </c>
      <c r="T97" s="2" t="n">
        <f aca="false">C97+Summary!$C$8*D97</f>
        <v>0.1102885</v>
      </c>
      <c r="U97" s="2" t="n">
        <f aca="false">B97*T97</f>
        <v>1.315741805</v>
      </c>
      <c r="V97" s="2" t="n">
        <f aca="false">B97*C97</f>
        <v>-2.55302</v>
      </c>
      <c r="W97" s="2" t="s">
        <v>67</v>
      </c>
      <c r="X97" s="2" t="s">
        <v>10</v>
      </c>
    </row>
    <row r="98" customFormat="false" ht="15" hidden="false" customHeight="false" outlineLevel="0" collapsed="false">
      <c r="A98" s="2" t="n">
        <v>194.04</v>
      </c>
      <c r="B98" s="2" t="n">
        <v>11.89</v>
      </c>
      <c r="C98" s="2" t="n">
        <v>-0.094</v>
      </c>
      <c r="D98" s="2" t="n">
        <v>3.958</v>
      </c>
      <c r="E98" s="2" t="n">
        <v>0</v>
      </c>
      <c r="F98" s="2" t="n">
        <v>76</v>
      </c>
      <c r="G98" s="2" t="n">
        <v>400</v>
      </c>
      <c r="H98" s="2" t="n">
        <v>400</v>
      </c>
      <c r="I98" s="2" t="n">
        <v>400</v>
      </c>
      <c r="J98" s="2"/>
      <c r="K98" s="2" t="n">
        <v>1</v>
      </c>
      <c r="L98" s="2" t="n">
        <v>1</v>
      </c>
      <c r="M98" s="2" t="n">
        <v>0</v>
      </c>
      <c r="N98" s="2" t="n">
        <v>0</v>
      </c>
      <c r="O98" s="2" t="n">
        <v>0</v>
      </c>
      <c r="P98" s="2" t="n">
        <v>1</v>
      </c>
      <c r="Q98" s="2" t="n">
        <v>1</v>
      </c>
      <c r="R98" s="2" t="n">
        <v>0</v>
      </c>
      <c r="S98" s="2" t="n">
        <f aca="false">A99-A98</f>
        <v>0.200000000000017</v>
      </c>
      <c r="T98" s="2" t="n">
        <f aca="false">C98+Summary!$C$8*D98</f>
        <v>0.228577</v>
      </c>
      <c r="U98" s="2" t="n">
        <f aca="false">B98*T98</f>
        <v>2.71778053</v>
      </c>
      <c r="V98" s="2" t="n">
        <f aca="false">B98*C98</f>
        <v>-1.11766</v>
      </c>
      <c r="W98" s="2" t="s">
        <v>67</v>
      </c>
      <c r="X98" s="2" t="s">
        <v>10</v>
      </c>
    </row>
    <row r="99" customFormat="false" ht="15" hidden="false" customHeight="false" outlineLevel="0" collapsed="false">
      <c r="A99" s="2" t="n">
        <v>194.24</v>
      </c>
      <c r="B99" s="2" t="n">
        <v>11.88</v>
      </c>
      <c r="C99" s="2" t="n">
        <v>-0.071</v>
      </c>
      <c r="D99" s="2" t="n">
        <v>3.946</v>
      </c>
      <c r="E99" s="2" t="n">
        <v>0</v>
      </c>
      <c r="F99" s="2" t="n">
        <v>76</v>
      </c>
      <c r="G99" s="2" t="n">
        <v>400</v>
      </c>
      <c r="H99" s="2" t="n">
        <v>400</v>
      </c>
      <c r="I99" s="2" t="n">
        <v>400</v>
      </c>
      <c r="J99" s="2"/>
      <c r="K99" s="2" t="n">
        <v>1</v>
      </c>
      <c r="L99" s="2" t="n">
        <v>1</v>
      </c>
      <c r="M99" s="2" t="n">
        <v>0</v>
      </c>
      <c r="N99" s="2" t="n">
        <v>0</v>
      </c>
      <c r="O99" s="2" t="n">
        <v>0</v>
      </c>
      <c r="P99" s="2" t="n">
        <v>1</v>
      </c>
      <c r="Q99" s="2" t="n">
        <v>1</v>
      </c>
      <c r="R99" s="2" t="n">
        <v>0</v>
      </c>
      <c r="S99" s="2" t="n">
        <f aca="false">A100-A99</f>
        <v>0.199999999999989</v>
      </c>
      <c r="T99" s="2" t="n">
        <f aca="false">C99+Summary!$C$8*D99</f>
        <v>0.250599</v>
      </c>
      <c r="U99" s="2" t="n">
        <f aca="false">B99*T99</f>
        <v>2.97711612</v>
      </c>
      <c r="V99" s="2" t="n">
        <f aca="false">B99*C99</f>
        <v>-0.84348</v>
      </c>
      <c r="W99" s="2" t="s">
        <v>67</v>
      </c>
      <c r="X99" s="2" t="s">
        <v>10</v>
      </c>
    </row>
    <row r="100" customFormat="false" ht="15" hidden="false" customHeight="false" outlineLevel="0" collapsed="false">
      <c r="A100" s="2" t="n">
        <v>194.44</v>
      </c>
      <c r="B100" s="2" t="n">
        <v>11.756</v>
      </c>
      <c r="C100" s="2" t="n">
        <v>0.337</v>
      </c>
      <c r="D100" s="2" t="n">
        <v>3.913</v>
      </c>
      <c r="E100" s="2" t="n">
        <v>0</v>
      </c>
      <c r="F100" s="2" t="n">
        <v>76</v>
      </c>
      <c r="G100" s="2" t="n">
        <v>400</v>
      </c>
      <c r="H100" s="2" t="n">
        <v>400</v>
      </c>
      <c r="I100" s="2" t="n">
        <v>325</v>
      </c>
      <c r="J100" s="2"/>
      <c r="K100" s="2" t="n">
        <v>1</v>
      </c>
      <c r="L100" s="2" t="n">
        <v>1</v>
      </c>
      <c r="M100" s="2" t="n">
        <v>0</v>
      </c>
      <c r="N100" s="2" t="n">
        <v>0</v>
      </c>
      <c r="O100" s="2" t="n">
        <v>0</v>
      </c>
      <c r="P100" s="2" t="n">
        <v>1</v>
      </c>
      <c r="Q100" s="2" t="n">
        <v>1</v>
      </c>
      <c r="R100" s="2" t="n">
        <v>0</v>
      </c>
      <c r="S100" s="2" t="n">
        <f aca="false">A101-A100</f>
        <v>0.199999999999989</v>
      </c>
      <c r="T100" s="2" t="n">
        <f aca="false">C100+Summary!$C$8*D100</f>
        <v>0.6559095</v>
      </c>
      <c r="U100" s="2" t="n">
        <f aca="false">B100*T100</f>
        <v>7.710872082</v>
      </c>
      <c r="V100" s="2" t="n">
        <f aca="false">B100*C100</f>
        <v>3.961772</v>
      </c>
      <c r="W100" s="2" t="s">
        <v>67</v>
      </c>
      <c r="X100" s="2" t="s">
        <v>10</v>
      </c>
    </row>
    <row r="101" customFormat="false" ht="15" hidden="false" customHeight="false" outlineLevel="0" collapsed="false">
      <c r="A101" s="2" t="n">
        <v>194.64</v>
      </c>
      <c r="B101" s="2" t="n">
        <v>11.775</v>
      </c>
      <c r="C101" s="2" t="n">
        <v>0.219</v>
      </c>
      <c r="D101" s="2" t="n">
        <v>4.084</v>
      </c>
      <c r="E101" s="2" t="n">
        <v>0</v>
      </c>
      <c r="F101" s="2" t="n">
        <v>76</v>
      </c>
      <c r="G101" s="2" t="n">
        <v>400</v>
      </c>
      <c r="H101" s="2" t="n">
        <v>45</v>
      </c>
      <c r="I101" s="2" t="n">
        <v>400</v>
      </c>
      <c r="J101" s="2"/>
      <c r="K101" s="2" t="n">
        <v>1</v>
      </c>
      <c r="L101" s="2" t="n">
        <v>1</v>
      </c>
      <c r="M101" s="2" t="n">
        <v>0</v>
      </c>
      <c r="N101" s="2" t="n">
        <v>0</v>
      </c>
      <c r="O101" s="2" t="n">
        <v>0</v>
      </c>
      <c r="P101" s="2" t="n">
        <v>1</v>
      </c>
      <c r="Q101" s="2" t="n">
        <v>1</v>
      </c>
      <c r="R101" s="2" t="n">
        <v>0</v>
      </c>
      <c r="S101" s="2" t="n">
        <f aca="false">A102-A101</f>
        <v>0.200000000000017</v>
      </c>
      <c r="T101" s="2" t="n">
        <f aca="false">C101+Summary!$C$8*D101</f>
        <v>0.551846</v>
      </c>
      <c r="U101" s="2" t="n">
        <f aca="false">B101*T101</f>
        <v>6.49798665</v>
      </c>
      <c r="V101" s="2" t="n">
        <f aca="false">B101*C101</f>
        <v>2.578725</v>
      </c>
      <c r="W101" s="2" t="s">
        <v>67</v>
      </c>
      <c r="X101" s="2" t="s">
        <v>10</v>
      </c>
    </row>
    <row r="102" customFormat="false" ht="15" hidden="false" customHeight="false" outlineLevel="0" collapsed="false">
      <c r="A102" s="2" t="n">
        <v>194.84</v>
      </c>
      <c r="B102" s="2" t="n">
        <v>11.784</v>
      </c>
      <c r="C102" s="2" t="n">
        <v>0.225</v>
      </c>
      <c r="D102" s="2" t="n">
        <v>4.113</v>
      </c>
      <c r="E102" s="2" t="n">
        <v>0.068</v>
      </c>
      <c r="F102" s="2" t="n">
        <v>76</v>
      </c>
      <c r="G102" s="2" t="n">
        <v>400</v>
      </c>
      <c r="H102" s="2" t="n">
        <v>400</v>
      </c>
      <c r="I102" s="2" t="n">
        <v>319</v>
      </c>
      <c r="J102" s="2"/>
      <c r="K102" s="2" t="n">
        <v>1</v>
      </c>
      <c r="L102" s="2" t="n">
        <v>1</v>
      </c>
      <c r="M102" s="2" t="n">
        <v>0</v>
      </c>
      <c r="N102" s="2" t="n">
        <v>0</v>
      </c>
      <c r="O102" s="2" t="n">
        <v>0</v>
      </c>
      <c r="P102" s="2" t="n">
        <v>1</v>
      </c>
      <c r="Q102" s="2" t="n">
        <v>1</v>
      </c>
      <c r="R102" s="2" t="n">
        <v>0</v>
      </c>
      <c r="S102" s="2" t="n">
        <f aca="false">A103-A102</f>
        <v>0.199999999999989</v>
      </c>
      <c r="T102" s="2" t="n">
        <f aca="false">C102+Summary!$C$8*D102</f>
        <v>0.5602095</v>
      </c>
      <c r="U102" s="2" t="n">
        <f aca="false">B102*T102</f>
        <v>6.601508748</v>
      </c>
      <c r="V102" s="2" t="n">
        <f aca="false">B102*C102</f>
        <v>2.6514</v>
      </c>
      <c r="W102" s="2" t="s">
        <v>67</v>
      </c>
      <c r="X102" s="2" t="s">
        <v>10</v>
      </c>
    </row>
    <row r="103" customFormat="false" ht="15" hidden="false" customHeight="false" outlineLevel="0" collapsed="false">
      <c r="A103" s="2" t="n">
        <v>195.04</v>
      </c>
      <c r="B103" s="2" t="n">
        <v>11.737</v>
      </c>
      <c r="C103" s="2" t="n">
        <v>0.379</v>
      </c>
      <c r="D103" s="2" t="n">
        <v>4.123</v>
      </c>
      <c r="E103" s="2" t="n">
        <v>0.068</v>
      </c>
      <c r="F103" s="2" t="n">
        <v>76</v>
      </c>
      <c r="G103" s="2" t="n">
        <v>400</v>
      </c>
      <c r="H103" s="2" t="n">
        <v>22</v>
      </c>
      <c r="I103" s="2" t="n">
        <v>22</v>
      </c>
      <c r="J103" s="2"/>
      <c r="K103" s="2" t="n">
        <v>1</v>
      </c>
      <c r="L103" s="2" t="n">
        <v>1</v>
      </c>
      <c r="M103" s="2" t="n">
        <v>0</v>
      </c>
      <c r="N103" s="2" t="n">
        <v>0</v>
      </c>
      <c r="O103" s="2" t="n">
        <v>0</v>
      </c>
      <c r="P103" s="2" t="n">
        <v>1</v>
      </c>
      <c r="Q103" s="2" t="n">
        <v>1</v>
      </c>
      <c r="R103" s="2" t="n">
        <v>0</v>
      </c>
      <c r="S103" s="2" t="n">
        <f aca="false">A104-A103</f>
        <v>0.200000000000017</v>
      </c>
      <c r="T103" s="2" t="n">
        <f aca="false">C103+Summary!$C$8*D103</f>
        <v>0.7150245</v>
      </c>
      <c r="U103" s="2" t="n">
        <f aca="false">B103*T103</f>
        <v>8.3922425565</v>
      </c>
      <c r="V103" s="2" t="n">
        <f aca="false">B103*C103</f>
        <v>4.448323</v>
      </c>
      <c r="W103" s="2" t="s">
        <v>67</v>
      </c>
      <c r="X103" s="2" t="s">
        <v>10</v>
      </c>
    </row>
    <row r="104" customFormat="false" ht="15" hidden="false" customHeight="false" outlineLevel="0" collapsed="false">
      <c r="A104" s="2" t="n">
        <v>195.24</v>
      </c>
      <c r="B104" s="2" t="n">
        <v>11.766</v>
      </c>
      <c r="C104" s="2" t="n">
        <v>0.286</v>
      </c>
      <c r="D104" s="2" t="n">
        <v>4.245</v>
      </c>
      <c r="E104" s="2" t="n">
        <v>0.136</v>
      </c>
      <c r="F104" s="2" t="n">
        <v>76</v>
      </c>
      <c r="G104" s="2" t="n">
        <v>400</v>
      </c>
      <c r="H104" s="2" t="n">
        <v>20</v>
      </c>
      <c r="I104" s="2" t="n">
        <v>18</v>
      </c>
      <c r="J104" s="2"/>
      <c r="K104" s="2" t="n">
        <v>1</v>
      </c>
      <c r="L104" s="2" t="n">
        <v>1</v>
      </c>
      <c r="M104" s="2" t="n">
        <v>0</v>
      </c>
      <c r="N104" s="2" t="n">
        <v>0</v>
      </c>
      <c r="O104" s="2" t="n">
        <v>0</v>
      </c>
      <c r="P104" s="2" t="n">
        <v>1</v>
      </c>
      <c r="Q104" s="2" t="n">
        <v>1</v>
      </c>
      <c r="R104" s="2" t="n">
        <v>0</v>
      </c>
      <c r="S104" s="2" t="n">
        <f aca="false">A105-A104</f>
        <v>0.199999999999989</v>
      </c>
      <c r="T104" s="2" t="n">
        <f aca="false">C104+Summary!$C$8*D104</f>
        <v>0.6319675</v>
      </c>
      <c r="U104" s="2" t="n">
        <f aca="false">B104*T104</f>
        <v>7.435729605</v>
      </c>
      <c r="V104" s="2" t="n">
        <f aca="false">B104*C104</f>
        <v>3.365076</v>
      </c>
      <c r="W104" s="2" t="s">
        <v>67</v>
      </c>
      <c r="X104" s="2" t="s">
        <v>10</v>
      </c>
    </row>
    <row r="105" customFormat="false" ht="15" hidden="false" customHeight="false" outlineLevel="0" collapsed="false">
      <c r="A105" s="2" t="n">
        <v>195.44</v>
      </c>
      <c r="B105" s="2" t="n">
        <v>11.763</v>
      </c>
      <c r="C105" s="2" t="n">
        <v>0.255</v>
      </c>
      <c r="D105" s="2" t="n">
        <v>4.215</v>
      </c>
      <c r="E105" s="2" t="n">
        <v>0.136</v>
      </c>
      <c r="F105" s="2" t="n">
        <v>76</v>
      </c>
      <c r="G105" s="2" t="n">
        <v>400</v>
      </c>
      <c r="H105" s="2" t="n">
        <v>400</v>
      </c>
      <c r="I105" s="2" t="n">
        <v>20</v>
      </c>
      <c r="J105" s="2"/>
      <c r="K105" s="2" t="n">
        <v>1</v>
      </c>
      <c r="L105" s="2" t="n">
        <v>1</v>
      </c>
      <c r="M105" s="2" t="n">
        <v>0</v>
      </c>
      <c r="N105" s="2" t="n">
        <v>0</v>
      </c>
      <c r="O105" s="2" t="n">
        <v>0</v>
      </c>
      <c r="P105" s="2" t="n">
        <v>1</v>
      </c>
      <c r="Q105" s="2" t="n">
        <v>1</v>
      </c>
      <c r="R105" s="2" t="n">
        <v>0</v>
      </c>
      <c r="S105" s="2" t="n">
        <f aca="false">A106-A105</f>
        <v>0.199999999999989</v>
      </c>
      <c r="T105" s="2" t="n">
        <f aca="false">C105+Summary!$C$8*D105</f>
        <v>0.5985225</v>
      </c>
      <c r="U105" s="2" t="n">
        <f aca="false">B105*T105</f>
        <v>7.0404201675</v>
      </c>
      <c r="V105" s="2" t="n">
        <f aca="false">B105*C105</f>
        <v>2.999565</v>
      </c>
      <c r="W105" s="2" t="s">
        <v>67</v>
      </c>
      <c r="X105" s="2" t="s">
        <v>10</v>
      </c>
    </row>
    <row r="106" customFormat="false" ht="15" hidden="false" customHeight="false" outlineLevel="0" collapsed="false">
      <c r="A106" s="2" t="n">
        <v>195.64</v>
      </c>
      <c r="B106" s="2" t="n">
        <v>11.902</v>
      </c>
      <c r="C106" s="2" t="n">
        <v>-0.136</v>
      </c>
      <c r="D106" s="2" t="n">
        <v>4.197</v>
      </c>
      <c r="E106" s="2" t="n">
        <v>0.122</v>
      </c>
      <c r="F106" s="2" t="n">
        <v>76</v>
      </c>
      <c r="G106" s="2" t="n">
        <v>400</v>
      </c>
      <c r="H106" s="2" t="n">
        <v>24</v>
      </c>
      <c r="I106" s="2" t="n">
        <v>400</v>
      </c>
      <c r="J106" s="2"/>
      <c r="K106" s="2" t="n">
        <v>1</v>
      </c>
      <c r="L106" s="2" t="n">
        <v>1</v>
      </c>
      <c r="M106" s="2" t="n">
        <v>0</v>
      </c>
      <c r="N106" s="2" t="n">
        <v>0</v>
      </c>
      <c r="O106" s="2" t="n">
        <v>0</v>
      </c>
      <c r="P106" s="2" t="n">
        <v>1</v>
      </c>
      <c r="Q106" s="2" t="n">
        <v>1</v>
      </c>
      <c r="R106" s="2" t="n">
        <v>0</v>
      </c>
      <c r="S106" s="2" t="n">
        <f aca="false">A107-A106</f>
        <v>0.200000000000017</v>
      </c>
      <c r="T106" s="2" t="n">
        <f aca="false">C106+Summary!$C$8*D106</f>
        <v>0.2060555</v>
      </c>
      <c r="U106" s="2" t="n">
        <f aca="false">B106*T106</f>
        <v>2.452472561</v>
      </c>
      <c r="V106" s="2" t="n">
        <f aca="false">B106*C106</f>
        <v>-1.618672</v>
      </c>
      <c r="W106" s="2" t="s">
        <v>67</v>
      </c>
      <c r="X106" s="2" t="s">
        <v>10</v>
      </c>
    </row>
    <row r="107" customFormat="false" ht="15" hidden="false" customHeight="false" outlineLevel="0" collapsed="false">
      <c r="A107" s="2" t="n">
        <v>195.84</v>
      </c>
      <c r="B107" s="2" t="n">
        <v>11.892</v>
      </c>
      <c r="C107" s="2" t="n">
        <v>-0.118</v>
      </c>
      <c r="D107" s="2" t="n">
        <v>4.126</v>
      </c>
      <c r="E107" s="2" t="n">
        <v>0.108</v>
      </c>
      <c r="F107" s="2" t="n">
        <v>76</v>
      </c>
      <c r="G107" s="2" t="n">
        <v>400</v>
      </c>
      <c r="H107" s="2" t="n">
        <v>31</v>
      </c>
      <c r="I107" s="2" t="n">
        <v>400</v>
      </c>
      <c r="J107" s="2"/>
      <c r="K107" s="2" t="n">
        <v>1</v>
      </c>
      <c r="L107" s="2" t="n">
        <v>1</v>
      </c>
      <c r="M107" s="2" t="n">
        <v>0</v>
      </c>
      <c r="N107" s="2" t="n">
        <v>0</v>
      </c>
      <c r="O107" s="2" t="n">
        <v>0</v>
      </c>
      <c r="P107" s="2" t="n">
        <v>1</v>
      </c>
      <c r="Q107" s="2" t="n">
        <v>1</v>
      </c>
      <c r="R107" s="2" t="n">
        <v>0</v>
      </c>
      <c r="S107" s="2" t="n">
        <f aca="false">A108-A107</f>
        <v>0.199999999999989</v>
      </c>
      <c r="T107" s="2" t="n">
        <f aca="false">C107+Summary!$C$8*D107</f>
        <v>0.218269</v>
      </c>
      <c r="U107" s="2" t="n">
        <f aca="false">B107*T107</f>
        <v>2.595654948</v>
      </c>
      <c r="V107" s="2" t="n">
        <f aca="false">B107*C107</f>
        <v>-1.403256</v>
      </c>
      <c r="W107" s="2" t="s">
        <v>67</v>
      </c>
      <c r="X107" s="2" t="s">
        <v>10</v>
      </c>
    </row>
    <row r="108" customFormat="false" ht="15" hidden="false" customHeight="false" outlineLevel="0" collapsed="false">
      <c r="A108" s="2" t="n">
        <v>196.04</v>
      </c>
      <c r="B108" s="2" t="n">
        <v>11.89</v>
      </c>
      <c r="C108" s="2" t="n">
        <v>-0.094</v>
      </c>
      <c r="D108" s="2" t="n">
        <v>4.063</v>
      </c>
      <c r="E108" s="2" t="n">
        <v>0.108</v>
      </c>
      <c r="F108" s="2" t="n">
        <v>76</v>
      </c>
      <c r="G108" s="2" t="n">
        <v>400</v>
      </c>
      <c r="H108" s="2" t="n">
        <v>62</v>
      </c>
      <c r="I108" s="2" t="n">
        <v>400</v>
      </c>
      <c r="J108" s="2"/>
      <c r="K108" s="2" t="n">
        <v>1</v>
      </c>
      <c r="L108" s="2" t="n">
        <v>1</v>
      </c>
      <c r="M108" s="2" t="n">
        <v>0</v>
      </c>
      <c r="N108" s="2" t="n">
        <v>0</v>
      </c>
      <c r="O108" s="2" t="n">
        <v>0</v>
      </c>
      <c r="P108" s="2" t="n">
        <v>1</v>
      </c>
      <c r="Q108" s="2" t="n">
        <v>1</v>
      </c>
      <c r="R108" s="2" t="n">
        <v>0</v>
      </c>
      <c r="S108" s="2" t="n">
        <f aca="false">A109-A108</f>
        <v>0.200000000000017</v>
      </c>
      <c r="T108" s="2" t="n">
        <f aca="false">C108+Summary!$C$8*D108</f>
        <v>0.2371345</v>
      </c>
      <c r="U108" s="2" t="n">
        <f aca="false">B108*T108</f>
        <v>2.819529205</v>
      </c>
      <c r="V108" s="2" t="n">
        <f aca="false">B108*C108</f>
        <v>-1.11766</v>
      </c>
      <c r="W108" s="2" t="s">
        <v>67</v>
      </c>
      <c r="X108" s="2" t="s">
        <v>10</v>
      </c>
    </row>
    <row r="109" customFormat="false" ht="15" hidden="false" customHeight="false" outlineLevel="0" collapsed="false">
      <c r="A109" s="2" t="n">
        <v>196.24</v>
      </c>
      <c r="B109" s="2" t="n">
        <v>11.899</v>
      </c>
      <c r="C109" s="2" t="n">
        <v>-0.124</v>
      </c>
      <c r="D109" s="2" t="n">
        <v>4.016</v>
      </c>
      <c r="E109" s="2" t="n">
        <v>0.068</v>
      </c>
      <c r="F109" s="2" t="n">
        <v>76</v>
      </c>
      <c r="G109" s="2" t="n">
        <v>400</v>
      </c>
      <c r="H109" s="2" t="n">
        <v>28</v>
      </c>
      <c r="I109" s="2" t="n">
        <v>400</v>
      </c>
      <c r="J109" s="2"/>
      <c r="K109" s="2" t="n">
        <v>1</v>
      </c>
      <c r="L109" s="2" t="n">
        <v>1</v>
      </c>
      <c r="M109" s="2" t="n">
        <v>0</v>
      </c>
      <c r="N109" s="2" t="n">
        <v>0</v>
      </c>
      <c r="O109" s="2" t="n">
        <v>0</v>
      </c>
      <c r="P109" s="2" t="n">
        <v>1</v>
      </c>
      <c r="Q109" s="2" t="n">
        <v>1</v>
      </c>
      <c r="R109" s="2" t="n">
        <v>0</v>
      </c>
      <c r="S109" s="2" t="n">
        <f aca="false">A110-A109</f>
        <v>0.199999999999989</v>
      </c>
      <c r="T109" s="2" t="n">
        <f aca="false">C109+Summary!$C$8*D109</f>
        <v>0.203304</v>
      </c>
      <c r="U109" s="2" t="n">
        <f aca="false">B109*T109</f>
        <v>2.419114296</v>
      </c>
      <c r="V109" s="2" t="n">
        <f aca="false">B109*C109</f>
        <v>-1.475476</v>
      </c>
      <c r="W109" s="2" t="s">
        <v>67</v>
      </c>
      <c r="X109" s="2" t="s">
        <v>10</v>
      </c>
    </row>
    <row r="110" customFormat="false" ht="15" hidden="false" customHeight="false" outlineLevel="0" collapsed="false">
      <c r="A110" s="2" t="n">
        <v>196.44</v>
      </c>
      <c r="B110" s="2" t="n">
        <v>11.864</v>
      </c>
      <c r="C110" s="2" t="n">
        <v>-0.028</v>
      </c>
      <c r="D110" s="2" t="n">
        <v>4.023</v>
      </c>
      <c r="E110" s="2" t="n">
        <v>0</v>
      </c>
      <c r="F110" s="2" t="n">
        <v>76</v>
      </c>
      <c r="G110" s="2" t="n">
        <v>400</v>
      </c>
      <c r="H110" s="2" t="n">
        <v>23</v>
      </c>
      <c r="I110" s="2" t="n">
        <v>400</v>
      </c>
      <c r="J110" s="2"/>
      <c r="K110" s="2" t="n">
        <v>1</v>
      </c>
      <c r="L110" s="2" t="n">
        <v>1</v>
      </c>
      <c r="M110" s="2" t="n">
        <v>0</v>
      </c>
      <c r="N110" s="2" t="n">
        <v>0</v>
      </c>
      <c r="O110" s="2" t="n">
        <v>0</v>
      </c>
      <c r="P110" s="2" t="n">
        <v>1</v>
      </c>
      <c r="Q110" s="2" t="n">
        <v>1</v>
      </c>
      <c r="R110" s="2" t="n">
        <v>0</v>
      </c>
      <c r="S110" s="2" t="n">
        <f aca="false">A111-A110</f>
        <v>0.199999999999989</v>
      </c>
      <c r="T110" s="2" t="n">
        <f aca="false">C110+Summary!$C$8*D110</f>
        <v>0.2998745</v>
      </c>
      <c r="U110" s="2" t="n">
        <f aca="false">B110*T110</f>
        <v>3.557711068</v>
      </c>
      <c r="V110" s="2" t="n">
        <f aca="false">B110*C110</f>
        <v>-0.332192</v>
      </c>
      <c r="W110" s="2" t="s">
        <v>67</v>
      </c>
      <c r="X110" s="2" t="s">
        <v>10</v>
      </c>
    </row>
    <row r="111" customFormat="false" ht="15" hidden="false" customHeight="false" outlineLevel="0" collapsed="false">
      <c r="A111" s="2" t="n">
        <v>196.64</v>
      </c>
      <c r="B111" s="2" t="n">
        <v>11.871</v>
      </c>
      <c r="C111" s="2" t="n">
        <v>-0.046</v>
      </c>
      <c r="D111" s="2" t="n">
        <v>4.013</v>
      </c>
      <c r="E111" s="2" t="n">
        <v>0.04</v>
      </c>
      <c r="F111" s="2" t="n">
        <v>76</v>
      </c>
      <c r="G111" s="2" t="n">
        <v>400</v>
      </c>
      <c r="H111" s="2" t="n">
        <v>43</v>
      </c>
      <c r="I111" s="2" t="n">
        <v>50</v>
      </c>
      <c r="J111" s="2"/>
      <c r="K111" s="2" t="n">
        <v>1</v>
      </c>
      <c r="L111" s="2" t="n">
        <v>1</v>
      </c>
      <c r="M111" s="2" t="n">
        <v>0</v>
      </c>
      <c r="N111" s="2" t="n">
        <v>0</v>
      </c>
      <c r="O111" s="2" t="n">
        <v>0</v>
      </c>
      <c r="P111" s="2" t="n">
        <v>1</v>
      </c>
      <c r="Q111" s="2" t="n">
        <v>1</v>
      </c>
      <c r="R111" s="2" t="n">
        <v>0</v>
      </c>
      <c r="S111" s="2" t="n">
        <f aca="false">A112-A111</f>
        <v>0.200000000000017</v>
      </c>
      <c r="T111" s="2" t="n">
        <f aca="false">C111+Summary!$C$8*D111</f>
        <v>0.2810595</v>
      </c>
      <c r="U111" s="2" t="n">
        <f aca="false">B111*T111</f>
        <v>3.3364573245</v>
      </c>
      <c r="V111" s="2" t="n">
        <f aca="false">B111*C111</f>
        <v>-0.546066</v>
      </c>
      <c r="W111" s="2" t="s">
        <v>67</v>
      </c>
      <c r="X111" s="2" t="s">
        <v>10</v>
      </c>
    </row>
    <row r="112" customFormat="false" ht="15" hidden="false" customHeight="false" outlineLevel="0" collapsed="false">
      <c r="A112" s="2" t="n">
        <v>196.84</v>
      </c>
      <c r="B112" s="2" t="n">
        <v>11.871</v>
      </c>
      <c r="C112" s="2" t="n">
        <v>-0.037</v>
      </c>
      <c r="D112" s="2" t="n">
        <v>3.989</v>
      </c>
      <c r="E112" s="2" t="n">
        <v>0.027</v>
      </c>
      <c r="F112" s="2" t="n">
        <v>76</v>
      </c>
      <c r="G112" s="2" t="n">
        <v>400</v>
      </c>
      <c r="H112" s="2" t="n">
        <v>71</v>
      </c>
      <c r="I112" s="2" t="n">
        <v>400</v>
      </c>
      <c r="J112" s="2"/>
      <c r="K112" s="2" t="n">
        <v>1</v>
      </c>
      <c r="L112" s="2" t="n">
        <v>1</v>
      </c>
      <c r="M112" s="2" t="n">
        <v>0</v>
      </c>
      <c r="N112" s="2" t="n">
        <v>0</v>
      </c>
      <c r="O112" s="2" t="n">
        <v>0</v>
      </c>
      <c r="P112" s="2" t="n">
        <v>1</v>
      </c>
      <c r="Q112" s="2" t="n">
        <v>1</v>
      </c>
      <c r="R112" s="2" t="n">
        <v>0</v>
      </c>
      <c r="S112" s="2" t="n">
        <f aca="false">A113-A112</f>
        <v>0.199999999999989</v>
      </c>
      <c r="T112" s="2" t="n">
        <f aca="false">C112+Summary!$C$8*D112</f>
        <v>0.2881035</v>
      </c>
      <c r="U112" s="2" t="n">
        <f aca="false">B112*T112</f>
        <v>3.4200766485</v>
      </c>
      <c r="V112" s="2" t="n">
        <f aca="false">B112*C112</f>
        <v>-0.439227</v>
      </c>
      <c r="W112" s="2" t="s">
        <v>67</v>
      </c>
      <c r="X112" s="2" t="s">
        <v>10</v>
      </c>
    </row>
    <row r="113" customFormat="false" ht="15" hidden="false" customHeight="false" outlineLevel="0" collapsed="false">
      <c r="A113" s="2" t="n">
        <v>197.04</v>
      </c>
      <c r="B113" s="2" t="n">
        <v>11.871</v>
      </c>
      <c r="C113" s="2" t="n">
        <v>-0.047</v>
      </c>
      <c r="D113" s="2" t="n">
        <v>3.979</v>
      </c>
      <c r="E113" s="2" t="n">
        <v>0.027</v>
      </c>
      <c r="F113" s="2" t="n">
        <v>76</v>
      </c>
      <c r="G113" s="2" t="n">
        <v>400</v>
      </c>
      <c r="H113" s="2" t="n">
        <v>70</v>
      </c>
      <c r="I113" s="2" t="n">
        <v>60</v>
      </c>
      <c r="J113" s="2"/>
      <c r="K113" s="2" t="n">
        <v>1</v>
      </c>
      <c r="L113" s="2" t="n">
        <v>1</v>
      </c>
      <c r="M113" s="2" t="n">
        <v>0</v>
      </c>
      <c r="N113" s="2" t="n">
        <v>0</v>
      </c>
      <c r="O113" s="2" t="n">
        <v>0</v>
      </c>
      <c r="P113" s="2" t="n">
        <v>1</v>
      </c>
      <c r="Q113" s="2" t="n">
        <v>1</v>
      </c>
      <c r="R113" s="2" t="n">
        <v>0</v>
      </c>
      <c r="S113" s="2" t="n">
        <f aca="false">A114-A113</f>
        <v>0.200000000000017</v>
      </c>
      <c r="T113" s="2" t="n">
        <f aca="false">C113+Summary!$C$8*D113</f>
        <v>0.2772885</v>
      </c>
      <c r="U113" s="2" t="n">
        <f aca="false">B113*T113</f>
        <v>3.2916917835</v>
      </c>
      <c r="V113" s="2" t="n">
        <f aca="false">B113*C113</f>
        <v>-0.557937</v>
      </c>
      <c r="W113" s="2" t="s">
        <v>67</v>
      </c>
      <c r="X113" s="2" t="s">
        <v>10</v>
      </c>
    </row>
    <row r="114" customFormat="false" ht="15" hidden="false" customHeight="false" outlineLevel="0" collapsed="false">
      <c r="A114" s="2" t="n">
        <v>197.24</v>
      </c>
      <c r="B114" s="2" t="n">
        <v>11.864</v>
      </c>
      <c r="C114" s="2" t="n">
        <v>-0.03</v>
      </c>
      <c r="D114" s="2" t="n">
        <v>3.971</v>
      </c>
      <c r="E114" s="2" t="n">
        <v>0.04</v>
      </c>
      <c r="F114" s="2" t="n">
        <v>76</v>
      </c>
      <c r="G114" s="2" t="n">
        <v>400</v>
      </c>
      <c r="H114" s="2" t="n">
        <v>35</v>
      </c>
      <c r="I114" s="2" t="n">
        <v>400</v>
      </c>
      <c r="J114" s="2"/>
      <c r="K114" s="2" t="n">
        <v>1</v>
      </c>
      <c r="L114" s="2" t="n">
        <v>1</v>
      </c>
      <c r="M114" s="2" t="n">
        <v>0</v>
      </c>
      <c r="N114" s="2" t="n">
        <v>0</v>
      </c>
      <c r="O114" s="2" t="n">
        <v>0</v>
      </c>
      <c r="P114" s="2" t="n">
        <v>1</v>
      </c>
      <c r="Q114" s="2" t="n">
        <v>1</v>
      </c>
      <c r="R114" s="2" t="n">
        <v>0</v>
      </c>
      <c r="S114" s="2" t="n">
        <f aca="false">A115-A114</f>
        <v>0.199999999999989</v>
      </c>
      <c r="T114" s="2" t="n">
        <f aca="false">C114+Summary!$C$8*D114</f>
        <v>0.2936365</v>
      </c>
      <c r="U114" s="2" t="n">
        <f aca="false">B114*T114</f>
        <v>3.483703436</v>
      </c>
      <c r="V114" s="2" t="n">
        <f aca="false">B114*C114</f>
        <v>-0.35592</v>
      </c>
      <c r="W114" s="2" t="s">
        <v>67</v>
      </c>
      <c r="X114" s="2" t="s">
        <v>10</v>
      </c>
    </row>
    <row r="115" customFormat="false" ht="15" hidden="false" customHeight="false" outlineLevel="0" collapsed="false">
      <c r="A115" s="2" t="n">
        <v>197.44</v>
      </c>
      <c r="B115" s="2" t="n">
        <v>11.823</v>
      </c>
      <c r="C115" s="2" t="n">
        <v>0.117</v>
      </c>
      <c r="D115" s="2" t="n">
        <v>4.001</v>
      </c>
      <c r="E115" s="2" t="n">
        <v>0.068</v>
      </c>
      <c r="F115" s="2" t="n">
        <v>76</v>
      </c>
      <c r="G115" s="2" t="n">
        <v>400</v>
      </c>
      <c r="H115" s="2" t="n">
        <v>400</v>
      </c>
      <c r="I115" s="2" t="n">
        <v>24</v>
      </c>
      <c r="J115" s="2"/>
      <c r="K115" s="2" t="n">
        <v>1</v>
      </c>
      <c r="L115" s="2" t="n">
        <v>1</v>
      </c>
      <c r="M115" s="2" t="n">
        <v>0</v>
      </c>
      <c r="N115" s="2" t="n">
        <v>0</v>
      </c>
      <c r="O115" s="2" t="n">
        <v>0</v>
      </c>
      <c r="P115" s="2" t="n">
        <v>1</v>
      </c>
      <c r="Q115" s="2" t="n">
        <v>1</v>
      </c>
      <c r="R115" s="2" t="n">
        <v>0</v>
      </c>
      <c r="S115" s="2" t="n">
        <f aca="false">A116-A115</f>
        <v>0.199999999999989</v>
      </c>
      <c r="T115" s="2" t="n">
        <f aca="false">C115+Summary!$C$8*D115</f>
        <v>0.4430815</v>
      </c>
      <c r="U115" s="2" t="n">
        <f aca="false">B115*T115</f>
        <v>5.2385525745</v>
      </c>
      <c r="V115" s="2" t="n">
        <f aca="false">B115*C115</f>
        <v>1.383291</v>
      </c>
      <c r="W115" s="2" t="s">
        <v>67</v>
      </c>
      <c r="X115" s="2" t="s">
        <v>10</v>
      </c>
    </row>
    <row r="116" customFormat="false" ht="15" hidden="false" customHeight="false" outlineLevel="0" collapsed="false">
      <c r="A116" s="2" t="n">
        <v>197.64</v>
      </c>
      <c r="B116" s="2" t="n">
        <v>11.838</v>
      </c>
      <c r="C116" s="2" t="n">
        <v>0.075</v>
      </c>
      <c r="D116" s="2" t="n">
        <v>4.032</v>
      </c>
      <c r="E116" s="2" t="n">
        <v>0.108</v>
      </c>
      <c r="F116" s="2" t="n">
        <v>76</v>
      </c>
      <c r="G116" s="2" t="n">
        <v>400</v>
      </c>
      <c r="H116" s="2" t="n">
        <v>400</v>
      </c>
      <c r="I116" s="2" t="n">
        <v>400</v>
      </c>
      <c r="J116" s="2"/>
      <c r="K116" s="2" t="n">
        <v>1</v>
      </c>
      <c r="L116" s="2" t="n">
        <v>1</v>
      </c>
      <c r="M116" s="2" t="n">
        <v>0</v>
      </c>
      <c r="N116" s="2" t="n">
        <v>0</v>
      </c>
      <c r="O116" s="2" t="n">
        <v>0</v>
      </c>
      <c r="P116" s="2" t="n">
        <v>1</v>
      </c>
      <c r="Q116" s="2" t="n">
        <v>1</v>
      </c>
      <c r="R116" s="2" t="n">
        <v>0</v>
      </c>
      <c r="S116" s="2" t="n">
        <f aca="false">A117-A116</f>
        <v>0.200000000000017</v>
      </c>
      <c r="T116" s="2" t="n">
        <f aca="false">C116+Summary!$C$8*D116</f>
        <v>0.403608</v>
      </c>
      <c r="U116" s="2" t="n">
        <f aca="false">B116*T116</f>
        <v>4.777911504</v>
      </c>
      <c r="V116" s="2" t="n">
        <f aca="false">B116*C116</f>
        <v>0.88785</v>
      </c>
      <c r="W116" s="2" t="s">
        <v>67</v>
      </c>
      <c r="X116" s="2" t="s">
        <v>10</v>
      </c>
    </row>
    <row r="117" customFormat="false" ht="15" hidden="false" customHeight="false" outlineLevel="0" collapsed="false">
      <c r="A117" s="2" t="n">
        <v>197.84</v>
      </c>
      <c r="B117" s="2" t="n">
        <v>11.836</v>
      </c>
      <c r="C117" s="2" t="n">
        <v>0.064</v>
      </c>
      <c r="D117" s="2" t="n">
        <v>3.998</v>
      </c>
      <c r="E117" s="2" t="n">
        <v>0.081</v>
      </c>
      <c r="F117" s="2" t="n">
        <v>76</v>
      </c>
      <c r="G117" s="2" t="n">
        <v>400</v>
      </c>
      <c r="H117" s="2" t="n">
        <v>400</v>
      </c>
      <c r="I117" s="2" t="n">
        <v>400</v>
      </c>
      <c r="J117" s="2"/>
      <c r="K117" s="2" t="n">
        <v>1</v>
      </c>
      <c r="L117" s="2" t="n">
        <v>1</v>
      </c>
      <c r="M117" s="2" t="n">
        <v>0</v>
      </c>
      <c r="N117" s="2" t="n">
        <v>0</v>
      </c>
      <c r="O117" s="2" t="n">
        <v>0</v>
      </c>
      <c r="P117" s="2" t="n">
        <v>1</v>
      </c>
      <c r="Q117" s="2" t="n">
        <v>1</v>
      </c>
      <c r="R117" s="2" t="n">
        <v>0</v>
      </c>
      <c r="S117" s="2" t="n">
        <f aca="false">A118-A117</f>
        <v>0.199999999999989</v>
      </c>
      <c r="T117" s="2" t="n">
        <f aca="false">C117+Summary!$C$8*D117</f>
        <v>0.389837</v>
      </c>
      <c r="U117" s="2" t="n">
        <f aca="false">B117*T117</f>
        <v>4.614110732</v>
      </c>
      <c r="V117" s="2" t="n">
        <f aca="false">B117*C117</f>
        <v>0.757504</v>
      </c>
      <c r="W117" s="2" t="s">
        <v>67</v>
      </c>
      <c r="X117" s="2" t="s">
        <v>10</v>
      </c>
    </row>
    <row r="118" customFormat="false" ht="15" hidden="false" customHeight="false" outlineLevel="0" collapsed="false">
      <c r="A118" s="2" t="n">
        <v>198.04</v>
      </c>
      <c r="B118" s="2" t="n">
        <v>11.737</v>
      </c>
      <c r="C118" s="2" t="n">
        <v>0.366</v>
      </c>
      <c r="D118" s="2" t="n">
        <v>4.034</v>
      </c>
      <c r="E118" s="2" t="n">
        <v>0.081</v>
      </c>
      <c r="F118" s="2" t="n">
        <v>76</v>
      </c>
      <c r="G118" s="2" t="n">
        <v>19</v>
      </c>
      <c r="H118" s="2" t="n">
        <v>400</v>
      </c>
      <c r="I118" s="2" t="n">
        <v>21</v>
      </c>
      <c r="J118" s="2"/>
      <c r="K118" s="2" t="n">
        <v>1</v>
      </c>
      <c r="L118" s="2" t="n">
        <v>1</v>
      </c>
      <c r="M118" s="2" t="n">
        <v>0</v>
      </c>
      <c r="N118" s="2" t="n">
        <v>0</v>
      </c>
      <c r="O118" s="2" t="n">
        <v>0</v>
      </c>
      <c r="P118" s="2" t="n">
        <v>1</v>
      </c>
      <c r="Q118" s="2" t="n">
        <v>1</v>
      </c>
      <c r="R118" s="2" t="n">
        <v>0</v>
      </c>
      <c r="S118" s="2" t="n">
        <f aca="false">A119-A118</f>
        <v>0.200000000000017</v>
      </c>
      <c r="T118" s="2" t="n">
        <f aca="false">C118+Summary!$C$8*D118</f>
        <v>0.694771</v>
      </c>
      <c r="U118" s="2" t="n">
        <f aca="false">B118*T118</f>
        <v>8.154527227</v>
      </c>
      <c r="V118" s="2" t="n">
        <f aca="false">B118*C118</f>
        <v>4.295742</v>
      </c>
      <c r="W118" s="2" t="s">
        <v>67</v>
      </c>
      <c r="X118" s="2" t="s">
        <v>10</v>
      </c>
    </row>
    <row r="119" customFormat="false" ht="15" hidden="false" customHeight="false" outlineLevel="0" collapsed="false">
      <c r="A119" s="2" t="n">
        <v>198.24</v>
      </c>
      <c r="B119" s="2" t="n">
        <v>11.759</v>
      </c>
      <c r="C119" s="2" t="n">
        <v>0.3</v>
      </c>
      <c r="D119" s="2" t="n">
        <v>4.153</v>
      </c>
      <c r="E119" s="2" t="n">
        <v>0.136</v>
      </c>
      <c r="F119" s="2" t="n">
        <v>76</v>
      </c>
      <c r="G119" s="2" t="n">
        <v>400</v>
      </c>
      <c r="H119" s="2" t="n">
        <v>47</v>
      </c>
      <c r="I119" s="2" t="n">
        <v>400</v>
      </c>
      <c r="J119" s="2"/>
      <c r="K119" s="2" t="n">
        <v>1</v>
      </c>
      <c r="L119" s="2" t="n">
        <v>1</v>
      </c>
      <c r="M119" s="2" t="n">
        <v>0</v>
      </c>
      <c r="N119" s="2" t="n">
        <v>0</v>
      </c>
      <c r="O119" s="2" t="n">
        <v>0</v>
      </c>
      <c r="P119" s="2" t="n">
        <v>1</v>
      </c>
      <c r="Q119" s="2" t="n">
        <v>1</v>
      </c>
      <c r="R119" s="2" t="n">
        <v>0</v>
      </c>
      <c r="S119" s="2" t="n">
        <f aca="false">A120-A119</f>
        <v>0.199999999999989</v>
      </c>
      <c r="T119" s="2" t="n">
        <f aca="false">C119+Summary!$C$8*D119</f>
        <v>0.6384695</v>
      </c>
      <c r="U119" s="2" t="n">
        <f aca="false">B119*T119</f>
        <v>7.5077628505</v>
      </c>
      <c r="V119" s="2" t="n">
        <f aca="false">B119*C119</f>
        <v>3.5277</v>
      </c>
      <c r="W119" s="2" t="s">
        <v>67</v>
      </c>
      <c r="X119" s="2" t="s">
        <v>10</v>
      </c>
    </row>
    <row r="120" customFormat="false" ht="15" hidden="false" customHeight="false" outlineLevel="0" collapsed="false">
      <c r="A120" s="2" t="n">
        <v>198.44</v>
      </c>
      <c r="B120" s="2" t="n">
        <v>11.777</v>
      </c>
      <c r="C120" s="2" t="n">
        <v>0.212</v>
      </c>
      <c r="D120" s="2" t="n">
        <v>4.26</v>
      </c>
      <c r="E120" s="2" t="n">
        <v>0.081</v>
      </c>
      <c r="F120" s="2" t="n">
        <v>76</v>
      </c>
      <c r="G120" s="2" t="n">
        <v>400</v>
      </c>
      <c r="H120" s="2" t="n">
        <v>400</v>
      </c>
      <c r="I120" s="2" t="n">
        <v>400</v>
      </c>
      <c r="J120" s="2"/>
      <c r="K120" s="2" t="n">
        <v>1</v>
      </c>
      <c r="L120" s="2" t="n">
        <v>1</v>
      </c>
      <c r="M120" s="2" t="n">
        <v>0</v>
      </c>
      <c r="N120" s="2" t="n">
        <v>0</v>
      </c>
      <c r="O120" s="2" t="n">
        <v>0</v>
      </c>
      <c r="P120" s="2" t="n">
        <v>1</v>
      </c>
      <c r="Q120" s="2" t="n">
        <v>1</v>
      </c>
      <c r="R120" s="2" t="n">
        <v>0</v>
      </c>
      <c r="S120" s="2" t="n">
        <f aca="false">A121-A120</f>
        <v>0.199999999999989</v>
      </c>
      <c r="T120" s="2" t="n">
        <f aca="false">C120+Summary!$C$8*D120</f>
        <v>0.55919</v>
      </c>
      <c r="U120" s="2" t="n">
        <f aca="false">B120*T120</f>
        <v>6.58558063</v>
      </c>
      <c r="V120" s="2" t="n">
        <f aca="false">B120*C120</f>
        <v>2.496724</v>
      </c>
      <c r="W120" s="2" t="s">
        <v>67</v>
      </c>
      <c r="X120" s="2" t="s">
        <v>10</v>
      </c>
    </row>
    <row r="121" customFormat="false" ht="15" hidden="false" customHeight="false" outlineLevel="0" collapsed="false">
      <c r="A121" s="2" t="n">
        <v>198.64</v>
      </c>
      <c r="B121" s="2" t="n">
        <v>11.763</v>
      </c>
      <c r="C121" s="2" t="n">
        <v>0.254</v>
      </c>
      <c r="D121" s="2" t="n">
        <v>4.266</v>
      </c>
      <c r="E121" s="2" t="n">
        <v>0.04</v>
      </c>
      <c r="F121" s="2" t="n">
        <v>76</v>
      </c>
      <c r="G121" s="2" t="n">
        <v>400</v>
      </c>
      <c r="H121" s="2" t="n">
        <v>400</v>
      </c>
      <c r="I121" s="2" t="n">
        <v>33</v>
      </c>
      <c r="J121" s="2"/>
      <c r="K121" s="2" t="n">
        <v>1</v>
      </c>
      <c r="L121" s="2" t="n">
        <v>1</v>
      </c>
      <c r="M121" s="2" t="n">
        <v>0</v>
      </c>
      <c r="N121" s="2" t="n">
        <v>0</v>
      </c>
      <c r="O121" s="2" t="n">
        <v>0</v>
      </c>
      <c r="P121" s="2" t="n">
        <v>1</v>
      </c>
      <c r="Q121" s="2" t="n">
        <v>1</v>
      </c>
      <c r="R121" s="2" t="n">
        <v>0</v>
      </c>
      <c r="S121" s="2" t="n">
        <f aca="false">A122-A121</f>
        <v>0.200000000000017</v>
      </c>
      <c r="T121" s="2" t="n">
        <f aca="false">C121+Summary!$C$8*D121</f>
        <v>0.601679</v>
      </c>
      <c r="U121" s="2" t="n">
        <f aca="false">B121*T121</f>
        <v>7.077550077</v>
      </c>
      <c r="V121" s="2" t="n">
        <f aca="false">B121*C121</f>
        <v>2.987802</v>
      </c>
      <c r="W121" s="2" t="s">
        <v>67</v>
      </c>
      <c r="X121" s="2" t="s">
        <v>10</v>
      </c>
    </row>
    <row r="122" customFormat="false" ht="15" hidden="false" customHeight="false" outlineLevel="0" collapsed="false">
      <c r="A122" s="2" t="n">
        <v>198.84</v>
      </c>
      <c r="B122" s="2" t="n">
        <v>11.768</v>
      </c>
      <c r="C122" s="2" t="n">
        <v>0.262</v>
      </c>
      <c r="D122" s="2" t="n">
        <v>4.321</v>
      </c>
      <c r="E122" s="2" t="n">
        <v>0.068</v>
      </c>
      <c r="F122" s="2" t="n">
        <v>76</v>
      </c>
      <c r="G122" s="2" t="n">
        <v>400</v>
      </c>
      <c r="H122" s="2" t="n">
        <v>400</v>
      </c>
      <c r="I122" s="2" t="n">
        <v>63</v>
      </c>
      <c r="J122" s="2"/>
      <c r="K122" s="2" t="n">
        <v>1</v>
      </c>
      <c r="L122" s="2" t="n">
        <v>1</v>
      </c>
      <c r="M122" s="2" t="n">
        <v>0</v>
      </c>
      <c r="N122" s="2" t="n">
        <v>0</v>
      </c>
      <c r="O122" s="2" t="n">
        <v>0</v>
      </c>
      <c r="P122" s="2" t="n">
        <v>1</v>
      </c>
      <c r="Q122" s="2" t="n">
        <v>1</v>
      </c>
      <c r="R122" s="2" t="n">
        <v>0</v>
      </c>
      <c r="S122" s="2" t="n">
        <f aca="false">A123-A122</f>
        <v>0.199999999999989</v>
      </c>
      <c r="T122" s="2" t="n">
        <f aca="false">C122+Summary!$C$8*D122</f>
        <v>0.6141615</v>
      </c>
      <c r="U122" s="2" t="n">
        <f aca="false">B122*T122</f>
        <v>7.227452532</v>
      </c>
      <c r="V122" s="2" t="n">
        <f aca="false">B122*C122</f>
        <v>3.083216</v>
      </c>
      <c r="W122" s="2" t="s">
        <v>67</v>
      </c>
      <c r="X122" s="2" t="s">
        <v>10</v>
      </c>
    </row>
    <row r="123" customFormat="false" ht="15" hidden="false" customHeight="false" outlineLevel="0" collapsed="false">
      <c r="A123" s="2" t="n">
        <v>199.04</v>
      </c>
      <c r="B123" s="2" t="n">
        <v>11.773</v>
      </c>
      <c r="C123" s="2" t="n">
        <v>0.222</v>
      </c>
      <c r="D123" s="2" t="n">
        <v>4.365</v>
      </c>
      <c r="E123" s="2" t="n">
        <v>0.068</v>
      </c>
      <c r="F123" s="2" t="n">
        <v>76</v>
      </c>
      <c r="G123" s="2" t="n">
        <v>22</v>
      </c>
      <c r="H123" s="2" t="n">
        <v>64</v>
      </c>
      <c r="I123" s="2" t="n">
        <v>400</v>
      </c>
      <c r="J123" s="2"/>
      <c r="K123" s="2" t="n">
        <v>1</v>
      </c>
      <c r="L123" s="2" t="n">
        <v>1</v>
      </c>
      <c r="M123" s="2" t="n">
        <v>0</v>
      </c>
      <c r="N123" s="2" t="n">
        <v>0</v>
      </c>
      <c r="O123" s="2" t="n">
        <v>0</v>
      </c>
      <c r="P123" s="2" t="n">
        <v>1</v>
      </c>
      <c r="Q123" s="2" t="n">
        <v>1</v>
      </c>
      <c r="R123" s="2" t="n">
        <v>0</v>
      </c>
      <c r="S123" s="2" t="n">
        <f aca="false">A124-A123</f>
        <v>0.200000000000017</v>
      </c>
      <c r="T123" s="2" t="n">
        <f aca="false">C123+Summary!$C$8*D123</f>
        <v>0.5777475</v>
      </c>
      <c r="U123" s="2" t="n">
        <f aca="false">B123*T123</f>
        <v>6.8018213175</v>
      </c>
      <c r="V123" s="2" t="n">
        <f aca="false">B123*C123</f>
        <v>2.613606</v>
      </c>
      <c r="W123" s="2" t="s">
        <v>67</v>
      </c>
      <c r="X123" s="2" t="s">
        <v>10</v>
      </c>
    </row>
    <row r="124" customFormat="false" ht="15" hidden="false" customHeight="false" outlineLevel="0" collapsed="false">
      <c r="A124" s="2" t="n">
        <v>199.24</v>
      </c>
      <c r="B124" s="2" t="n">
        <v>11.784</v>
      </c>
      <c r="C124" s="2" t="n">
        <v>0.251</v>
      </c>
      <c r="D124" s="2" t="n">
        <v>4.417</v>
      </c>
      <c r="E124" s="2" t="n">
        <v>0.054</v>
      </c>
      <c r="F124" s="2" t="n">
        <v>76</v>
      </c>
      <c r="G124" s="2" t="n">
        <v>400</v>
      </c>
      <c r="H124" s="2" t="n">
        <v>400</v>
      </c>
      <c r="I124" s="2" t="n">
        <v>400</v>
      </c>
      <c r="J124" s="2"/>
      <c r="K124" s="2" t="n">
        <v>1</v>
      </c>
      <c r="L124" s="2" t="n">
        <v>1</v>
      </c>
      <c r="M124" s="2" t="n">
        <v>0</v>
      </c>
      <c r="N124" s="2" t="n">
        <v>0</v>
      </c>
      <c r="O124" s="2" t="n">
        <v>0</v>
      </c>
      <c r="P124" s="2" t="n">
        <v>1</v>
      </c>
      <c r="Q124" s="2" t="n">
        <v>1</v>
      </c>
      <c r="R124" s="2" t="n">
        <v>0</v>
      </c>
      <c r="S124" s="2" t="n">
        <f aca="false">A125-A124</f>
        <v>0.199999999999989</v>
      </c>
      <c r="T124" s="2" t="n">
        <f aca="false">C124+Summary!$C$8*D124</f>
        <v>0.6109855</v>
      </c>
      <c r="U124" s="2" t="n">
        <f aca="false">B124*T124</f>
        <v>7.199853132</v>
      </c>
      <c r="V124" s="2" t="n">
        <f aca="false">B124*C124</f>
        <v>2.957784</v>
      </c>
      <c r="W124" s="2" t="s">
        <v>67</v>
      </c>
      <c r="X124" s="2" t="s">
        <v>10</v>
      </c>
    </row>
    <row r="125" customFormat="false" ht="15" hidden="false" customHeight="false" outlineLevel="0" collapsed="false">
      <c r="A125" s="2" t="n">
        <v>199.44</v>
      </c>
      <c r="B125" s="2" t="n">
        <v>11.788</v>
      </c>
      <c r="C125" s="2" t="n">
        <v>0.186</v>
      </c>
      <c r="D125" s="2" t="n">
        <v>4.393</v>
      </c>
      <c r="E125" s="2" t="n">
        <v>0.122</v>
      </c>
      <c r="F125" s="2" t="n">
        <v>76</v>
      </c>
      <c r="G125" s="2" t="n">
        <v>400</v>
      </c>
      <c r="H125" s="2" t="n">
        <v>43</v>
      </c>
      <c r="I125" s="2" t="n">
        <v>69</v>
      </c>
      <c r="J125" s="2"/>
      <c r="K125" s="2" t="n">
        <v>1</v>
      </c>
      <c r="L125" s="2" t="n">
        <v>1</v>
      </c>
      <c r="M125" s="2" t="n">
        <v>0</v>
      </c>
      <c r="N125" s="2" t="n">
        <v>0</v>
      </c>
      <c r="O125" s="2" t="n">
        <v>0</v>
      </c>
      <c r="P125" s="2" t="n">
        <v>1</v>
      </c>
      <c r="Q125" s="2" t="n">
        <v>1</v>
      </c>
      <c r="R125" s="2" t="n">
        <v>0</v>
      </c>
      <c r="S125" s="2" t="n">
        <f aca="false">A126-A125</f>
        <v>0.199999999999989</v>
      </c>
      <c r="T125" s="2" t="n">
        <f aca="false">C125+Summary!$C$8*D125</f>
        <v>0.5440295</v>
      </c>
      <c r="U125" s="2" t="n">
        <f aca="false">B125*T125</f>
        <v>6.413019746</v>
      </c>
      <c r="V125" s="2" t="n">
        <f aca="false">B125*C125</f>
        <v>2.192568</v>
      </c>
      <c r="W125" s="2" t="s">
        <v>67</v>
      </c>
      <c r="X125" s="2" t="s">
        <v>10</v>
      </c>
    </row>
    <row r="126" customFormat="false" ht="15" hidden="false" customHeight="false" outlineLevel="0" collapsed="false">
      <c r="A126" s="2" t="n">
        <v>199.64</v>
      </c>
      <c r="B126" s="2" t="n">
        <v>11.898</v>
      </c>
      <c r="C126" s="2" t="n">
        <v>-0.136</v>
      </c>
      <c r="D126" s="2" t="n">
        <v>4.435</v>
      </c>
      <c r="E126" s="2" t="n">
        <v>0.136</v>
      </c>
      <c r="F126" s="2" t="n">
        <v>76</v>
      </c>
      <c r="G126" s="2" t="n">
        <v>400</v>
      </c>
      <c r="H126" s="2" t="n">
        <v>59</v>
      </c>
      <c r="I126" s="2" t="n">
        <v>400</v>
      </c>
      <c r="J126" s="2"/>
      <c r="K126" s="2" t="n">
        <v>1</v>
      </c>
      <c r="L126" s="2" t="n">
        <v>1</v>
      </c>
      <c r="M126" s="2" t="n">
        <v>0</v>
      </c>
      <c r="N126" s="2" t="n">
        <v>0</v>
      </c>
      <c r="O126" s="2" t="n">
        <v>0</v>
      </c>
      <c r="P126" s="2" t="n">
        <v>1</v>
      </c>
      <c r="Q126" s="2" t="n">
        <v>1</v>
      </c>
      <c r="R126" s="2" t="n">
        <v>0</v>
      </c>
      <c r="S126" s="2" t="n">
        <f aca="false">A127-A126</f>
        <v>0.200000000000017</v>
      </c>
      <c r="T126" s="2" t="n">
        <f aca="false">C126+Summary!$C$8*D126</f>
        <v>0.2254525</v>
      </c>
      <c r="U126" s="2" t="n">
        <f aca="false">B126*T126</f>
        <v>2.682433845</v>
      </c>
      <c r="V126" s="2" t="n">
        <f aca="false">B126*C126</f>
        <v>-1.618128</v>
      </c>
      <c r="W126" s="2" t="s">
        <v>67</v>
      </c>
      <c r="X126" s="2" t="s">
        <v>10</v>
      </c>
    </row>
    <row r="127" customFormat="false" ht="15" hidden="false" customHeight="false" outlineLevel="0" collapsed="false">
      <c r="A127" s="2" t="n">
        <v>199.84</v>
      </c>
      <c r="B127" s="2" t="n">
        <v>11.892</v>
      </c>
      <c r="C127" s="2" t="n">
        <v>-0.117</v>
      </c>
      <c r="D127" s="2" t="n">
        <v>4.365</v>
      </c>
      <c r="E127" s="2" t="n">
        <v>0.163</v>
      </c>
      <c r="F127" s="2" t="n">
        <v>76</v>
      </c>
      <c r="G127" s="2" t="n">
        <v>400</v>
      </c>
      <c r="H127" s="2" t="n">
        <v>35</v>
      </c>
      <c r="I127" s="2" t="n">
        <v>400</v>
      </c>
      <c r="J127" s="2"/>
      <c r="K127" s="2" t="n">
        <v>1</v>
      </c>
      <c r="L127" s="2" t="n">
        <v>1</v>
      </c>
      <c r="M127" s="2" t="n">
        <v>0</v>
      </c>
      <c r="N127" s="2" t="n">
        <v>0</v>
      </c>
      <c r="O127" s="2" t="n">
        <v>0</v>
      </c>
      <c r="P127" s="2" t="n">
        <v>1</v>
      </c>
      <c r="Q127" s="2" t="n">
        <v>1</v>
      </c>
      <c r="R127" s="2" t="n">
        <v>0</v>
      </c>
      <c r="S127" s="2" t="n">
        <f aca="false">A128-A127</f>
        <v>0.199999999999989</v>
      </c>
      <c r="T127" s="2" t="n">
        <f aca="false">C127+Summary!$C$8*D127</f>
        <v>0.2387475</v>
      </c>
      <c r="U127" s="2" t="n">
        <f aca="false">B127*T127</f>
        <v>2.83918527</v>
      </c>
      <c r="V127" s="2" t="n">
        <f aca="false">B127*C127</f>
        <v>-1.391364</v>
      </c>
      <c r="W127" s="2" t="s">
        <v>67</v>
      </c>
      <c r="X127" s="2" t="s">
        <v>10</v>
      </c>
    </row>
    <row r="128" customFormat="false" ht="15" hidden="false" customHeight="false" outlineLevel="0" collapsed="false">
      <c r="A128" s="2" t="n">
        <v>200.04</v>
      </c>
      <c r="B128" s="2" t="n">
        <v>11.73</v>
      </c>
      <c r="C128" s="2" t="n">
        <v>0.34</v>
      </c>
      <c r="D128" s="2" t="n">
        <v>4.292</v>
      </c>
      <c r="E128" s="2" t="n">
        <v>0.163</v>
      </c>
      <c r="F128" s="2" t="n">
        <v>76</v>
      </c>
      <c r="G128" s="2" t="n">
        <v>400</v>
      </c>
      <c r="H128" s="2" t="n">
        <v>39</v>
      </c>
      <c r="I128" s="2" t="n">
        <v>400</v>
      </c>
      <c r="J128" s="2"/>
      <c r="K128" s="2" t="n">
        <v>1</v>
      </c>
      <c r="L128" s="2" t="n">
        <v>1</v>
      </c>
      <c r="M128" s="2" t="n">
        <v>0</v>
      </c>
      <c r="N128" s="2" t="n">
        <v>0</v>
      </c>
      <c r="O128" s="2" t="n">
        <v>0</v>
      </c>
      <c r="P128" s="2" t="n">
        <v>1</v>
      </c>
      <c r="Q128" s="2" t="n">
        <v>1</v>
      </c>
      <c r="R128" s="2" t="n">
        <v>0</v>
      </c>
      <c r="S128" s="2" t="n">
        <f aca="false">A129-A128</f>
        <v>0.200000000000017</v>
      </c>
      <c r="T128" s="2" t="n">
        <f aca="false">C128+Summary!$C$8*D128</f>
        <v>0.689798</v>
      </c>
      <c r="U128" s="2" t="n">
        <f aca="false">B128*T128</f>
        <v>8.09133054</v>
      </c>
      <c r="V128" s="2" t="n">
        <f aca="false">B128*C128</f>
        <v>3.9882</v>
      </c>
      <c r="W128" s="2" t="s">
        <v>67</v>
      </c>
      <c r="X128" s="2" t="s">
        <v>10</v>
      </c>
    </row>
    <row r="129" customFormat="false" ht="15" hidden="false" customHeight="false" outlineLevel="0" collapsed="false">
      <c r="A129" s="2" t="n">
        <v>200.24</v>
      </c>
      <c r="B129" s="2" t="n">
        <v>11.806</v>
      </c>
      <c r="C129" s="2" t="n">
        <v>0.159</v>
      </c>
      <c r="D129" s="2" t="n">
        <v>4.274</v>
      </c>
      <c r="E129" s="2" t="n">
        <v>0.149</v>
      </c>
      <c r="F129" s="2" t="n">
        <v>76</v>
      </c>
      <c r="G129" s="2" t="n">
        <v>400</v>
      </c>
      <c r="H129" s="2" t="n">
        <v>400</v>
      </c>
      <c r="I129" s="2" t="n">
        <v>400</v>
      </c>
      <c r="J129" s="2"/>
      <c r="K129" s="2" t="n">
        <v>1</v>
      </c>
      <c r="L129" s="2" t="n">
        <v>1</v>
      </c>
      <c r="M129" s="2" t="n">
        <v>0</v>
      </c>
      <c r="N129" s="2" t="n">
        <v>0</v>
      </c>
      <c r="O129" s="2" t="n">
        <v>0</v>
      </c>
      <c r="P129" s="2" t="n">
        <v>1</v>
      </c>
      <c r="Q129" s="2" t="n">
        <v>1</v>
      </c>
      <c r="R129" s="2" t="n">
        <v>0</v>
      </c>
      <c r="S129" s="2" t="n">
        <f aca="false">A130-A129</f>
        <v>0.199999999999989</v>
      </c>
      <c r="T129" s="2" t="n">
        <f aca="false">C129+Summary!$C$8*D129</f>
        <v>0.507331</v>
      </c>
      <c r="U129" s="2" t="n">
        <f aca="false">B129*T129</f>
        <v>5.989549786</v>
      </c>
      <c r="V129" s="2" t="n">
        <f aca="false">B129*C129</f>
        <v>1.877154</v>
      </c>
      <c r="W129" s="2" t="s">
        <v>67</v>
      </c>
      <c r="X129" s="2" t="s">
        <v>10</v>
      </c>
    </row>
    <row r="130" customFormat="false" ht="15" hidden="false" customHeight="false" outlineLevel="0" collapsed="false">
      <c r="A130" s="2" t="n">
        <v>200.44</v>
      </c>
      <c r="B130" s="2" t="n">
        <v>11.663</v>
      </c>
      <c r="C130" s="2" t="n">
        <v>0.482</v>
      </c>
      <c r="D130" s="2" t="n">
        <v>4.243</v>
      </c>
      <c r="E130" s="2" t="n">
        <v>0.217</v>
      </c>
      <c r="F130" s="2" t="n">
        <v>76</v>
      </c>
      <c r="G130" s="2" t="n">
        <v>21</v>
      </c>
      <c r="H130" s="2" t="n">
        <v>400</v>
      </c>
      <c r="I130" s="2" t="n">
        <v>45</v>
      </c>
      <c r="J130" s="2"/>
      <c r="K130" s="2" t="n">
        <v>1</v>
      </c>
      <c r="L130" s="2" t="n">
        <v>1</v>
      </c>
      <c r="M130" s="2" t="n">
        <v>0</v>
      </c>
      <c r="N130" s="2" t="n">
        <v>0</v>
      </c>
      <c r="O130" s="2" t="n">
        <v>0</v>
      </c>
      <c r="P130" s="2" t="n">
        <v>1</v>
      </c>
      <c r="Q130" s="2" t="n">
        <v>1</v>
      </c>
      <c r="R130" s="2" t="n">
        <v>0</v>
      </c>
      <c r="S130" s="2" t="n">
        <f aca="false">A131-A130</f>
        <v>0.199999999999989</v>
      </c>
      <c r="T130" s="2" t="n">
        <f aca="false">C130+Summary!$C$8*D130</f>
        <v>0.8278045</v>
      </c>
      <c r="U130" s="2" t="n">
        <f aca="false">B130*T130</f>
        <v>9.6546838835</v>
      </c>
      <c r="V130" s="2" t="n">
        <f aca="false">B130*C130</f>
        <v>5.621566</v>
      </c>
      <c r="W130" s="2" t="s">
        <v>67</v>
      </c>
      <c r="X130" s="2" t="s">
        <v>10</v>
      </c>
    </row>
    <row r="131" customFormat="false" ht="15" hidden="false" customHeight="false" outlineLevel="0" collapsed="false">
      <c r="A131" s="2" t="n">
        <v>200.64</v>
      </c>
      <c r="B131" s="2" t="n">
        <v>11.77</v>
      </c>
      <c r="C131" s="2" t="n">
        <v>0.228</v>
      </c>
      <c r="D131" s="2" t="n">
        <v>4.2</v>
      </c>
      <c r="E131" s="2" t="n">
        <v>0.204</v>
      </c>
      <c r="F131" s="2" t="n">
        <v>76</v>
      </c>
      <c r="G131" s="2" t="n">
        <v>400</v>
      </c>
      <c r="H131" s="2" t="n">
        <v>41</v>
      </c>
      <c r="I131" s="2" t="n">
        <v>400</v>
      </c>
      <c r="J131" s="2"/>
      <c r="K131" s="2" t="n">
        <v>1</v>
      </c>
      <c r="L131" s="2" t="n">
        <v>1</v>
      </c>
      <c r="M131" s="2" t="n">
        <v>0</v>
      </c>
      <c r="N131" s="2" t="n">
        <v>0</v>
      </c>
      <c r="O131" s="2" t="n">
        <v>0</v>
      </c>
      <c r="P131" s="2" t="n">
        <v>1</v>
      </c>
      <c r="Q131" s="2" t="n">
        <v>1</v>
      </c>
      <c r="R131" s="2" t="n">
        <v>0</v>
      </c>
      <c r="S131" s="2" t="n">
        <f aca="false">A132-A131</f>
        <v>0.200000000000017</v>
      </c>
      <c r="T131" s="2" t="n">
        <f aca="false">C131+Summary!$C$8*D131</f>
        <v>0.5703</v>
      </c>
      <c r="U131" s="2" t="n">
        <f aca="false">B131*T131</f>
        <v>6.712431</v>
      </c>
      <c r="V131" s="2" t="n">
        <f aca="false">B131*C131</f>
        <v>2.68356</v>
      </c>
      <c r="W131" s="2" t="s">
        <v>67</v>
      </c>
      <c r="X131" s="2" t="s">
        <v>10</v>
      </c>
    </row>
    <row r="132" customFormat="false" ht="15" hidden="false" customHeight="false" outlineLevel="0" collapsed="false">
      <c r="A132" s="2" t="n">
        <v>200.84</v>
      </c>
      <c r="B132" s="2" t="n">
        <v>11.805</v>
      </c>
      <c r="C132" s="2" t="n">
        <v>0.139</v>
      </c>
      <c r="D132" s="2" t="n">
        <v>4.125</v>
      </c>
      <c r="E132" s="2" t="n">
        <v>0.285</v>
      </c>
      <c r="F132" s="2" t="n">
        <v>76</v>
      </c>
      <c r="G132" s="2" t="n">
        <v>58</v>
      </c>
      <c r="H132" s="2" t="n">
        <v>400</v>
      </c>
      <c r="I132" s="2" t="n">
        <v>32</v>
      </c>
      <c r="J132" s="2"/>
      <c r="K132" s="2" t="n">
        <v>1</v>
      </c>
      <c r="L132" s="2" t="n">
        <v>1</v>
      </c>
      <c r="M132" s="2" t="n">
        <v>0</v>
      </c>
      <c r="N132" s="2" t="n">
        <v>0</v>
      </c>
      <c r="O132" s="2" t="n">
        <v>0</v>
      </c>
      <c r="P132" s="2" t="n">
        <v>1</v>
      </c>
      <c r="Q132" s="2" t="n">
        <v>1</v>
      </c>
      <c r="R132" s="2" t="n">
        <v>0</v>
      </c>
      <c r="S132" s="2" t="n">
        <f aca="false">A133-A132</f>
        <v>0.199999999999989</v>
      </c>
      <c r="T132" s="2" t="n">
        <f aca="false">C132+Summary!$C$8*D132</f>
        <v>0.4751875</v>
      </c>
      <c r="U132" s="2" t="n">
        <f aca="false">B132*T132</f>
        <v>5.6095884375</v>
      </c>
      <c r="V132" s="2" t="n">
        <f aca="false">B132*C132</f>
        <v>1.640895</v>
      </c>
      <c r="W132" s="2" t="s">
        <v>67</v>
      </c>
      <c r="X132" s="2" t="s">
        <v>10</v>
      </c>
    </row>
    <row r="133" customFormat="false" ht="15" hidden="false" customHeight="false" outlineLevel="0" collapsed="false">
      <c r="A133" s="2" t="n">
        <v>201.04</v>
      </c>
      <c r="B133" s="2" t="n">
        <v>11.781</v>
      </c>
      <c r="C133" s="2" t="n">
        <v>0.209</v>
      </c>
      <c r="D133" s="2" t="n">
        <v>3.998</v>
      </c>
      <c r="E133" s="2" t="n">
        <v>0.285</v>
      </c>
      <c r="F133" s="2" t="n">
        <v>76</v>
      </c>
      <c r="G133" s="2" t="n">
        <v>400</v>
      </c>
      <c r="H133" s="2" t="n">
        <v>400</v>
      </c>
      <c r="I133" s="2" t="n">
        <v>400</v>
      </c>
      <c r="J133" s="2"/>
      <c r="K133" s="2" t="n">
        <v>1</v>
      </c>
      <c r="L133" s="2" t="n">
        <v>1</v>
      </c>
      <c r="M133" s="2" t="n">
        <v>0</v>
      </c>
      <c r="N133" s="2" t="n">
        <v>0</v>
      </c>
      <c r="O133" s="2" t="n">
        <v>0</v>
      </c>
      <c r="P133" s="2" t="n">
        <v>1</v>
      </c>
      <c r="Q133" s="2" t="n">
        <v>1</v>
      </c>
      <c r="R133" s="2" t="n">
        <v>0</v>
      </c>
      <c r="S133" s="2" t="n">
        <f aca="false">A134-A133</f>
        <v>0.200000000000017</v>
      </c>
      <c r="T133" s="2" t="n">
        <f aca="false">C133+Summary!$C$8*D133</f>
        <v>0.534837</v>
      </c>
      <c r="U133" s="2" t="n">
        <f aca="false">B133*T133</f>
        <v>6.300914697</v>
      </c>
      <c r="V133" s="2" t="n">
        <f aca="false">B133*C133</f>
        <v>2.462229</v>
      </c>
      <c r="W133" s="2" t="s">
        <v>67</v>
      </c>
      <c r="X133" s="2" t="s">
        <v>10</v>
      </c>
    </row>
    <row r="134" customFormat="false" ht="15" hidden="false" customHeight="false" outlineLevel="0" collapsed="false">
      <c r="A134" s="2" t="n">
        <v>201.24</v>
      </c>
      <c r="B134" s="2" t="n">
        <v>11.904</v>
      </c>
      <c r="C134" s="2" t="n">
        <v>-0.152</v>
      </c>
      <c r="D134" s="2" t="n">
        <v>3.965</v>
      </c>
      <c r="E134" s="2" t="n">
        <v>0.299</v>
      </c>
      <c r="F134" s="2" t="n">
        <v>76</v>
      </c>
      <c r="G134" s="2" t="n">
        <v>400</v>
      </c>
      <c r="H134" s="2" t="n">
        <v>35</v>
      </c>
      <c r="I134" s="2" t="n">
        <v>29</v>
      </c>
      <c r="J134" s="2"/>
      <c r="K134" s="2" t="n">
        <v>1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1</v>
      </c>
      <c r="Q134" s="2" t="n">
        <v>1</v>
      </c>
      <c r="R134" s="2" t="n">
        <v>0</v>
      </c>
      <c r="S134" s="2" t="n">
        <f aca="false">A135-A134</f>
        <v>0.199999999999989</v>
      </c>
      <c r="T134" s="2" t="n">
        <f aca="false">C134+Summary!$C$8*D134</f>
        <v>0.1711475</v>
      </c>
      <c r="U134" s="2" t="n">
        <f aca="false">B134*T134</f>
        <v>2.03733984</v>
      </c>
      <c r="V134" s="2" t="n">
        <f aca="false">B134*C134</f>
        <v>-1.809408</v>
      </c>
      <c r="W134" s="2" t="s">
        <v>67</v>
      </c>
      <c r="X134" s="2" t="s">
        <v>10</v>
      </c>
    </row>
    <row r="135" customFormat="false" ht="15" hidden="false" customHeight="false" outlineLevel="0" collapsed="false">
      <c r="A135" s="2" t="n">
        <v>201.44</v>
      </c>
      <c r="B135" s="2" t="n">
        <v>11.922</v>
      </c>
      <c r="C135" s="2" t="n">
        <v>-0.21</v>
      </c>
      <c r="D135" s="2" t="n">
        <v>3.96</v>
      </c>
      <c r="E135" s="2" t="n">
        <v>0.19</v>
      </c>
      <c r="F135" s="2" t="n">
        <v>76</v>
      </c>
      <c r="G135" s="2" t="n">
        <v>400</v>
      </c>
      <c r="H135" s="2" t="n">
        <v>29</v>
      </c>
      <c r="I135" s="2" t="n">
        <v>400</v>
      </c>
      <c r="J135" s="2"/>
      <c r="K135" s="2" t="n">
        <v>1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1</v>
      </c>
      <c r="Q135" s="2" t="n">
        <v>1</v>
      </c>
      <c r="R135" s="2" t="n">
        <v>0</v>
      </c>
      <c r="S135" s="2" t="n">
        <f aca="false">A136-A135</f>
        <v>0.199999999999989</v>
      </c>
      <c r="T135" s="2" t="n">
        <f aca="false">C135+Summary!$C$8*D135</f>
        <v>0.11274</v>
      </c>
      <c r="U135" s="2" t="n">
        <f aca="false">B135*T135</f>
        <v>1.34408628</v>
      </c>
      <c r="V135" s="2" t="n">
        <f aca="false">B135*C135</f>
        <v>-2.50362</v>
      </c>
      <c r="W135" s="2" t="s">
        <v>67</v>
      </c>
      <c r="X135" s="2" t="s">
        <v>10</v>
      </c>
    </row>
    <row r="136" customFormat="false" ht="15" hidden="false" customHeight="false" outlineLevel="0" collapsed="false">
      <c r="A136" s="2" t="n">
        <v>201.64</v>
      </c>
      <c r="B136" s="2" t="n">
        <v>11.923</v>
      </c>
      <c r="C136" s="2" t="n">
        <v>-0.209</v>
      </c>
      <c r="D136" s="2" t="n">
        <v>3.932</v>
      </c>
      <c r="E136" s="2" t="n">
        <v>0.081</v>
      </c>
      <c r="F136" s="2" t="n">
        <v>76</v>
      </c>
      <c r="G136" s="2" t="n">
        <v>400</v>
      </c>
      <c r="H136" s="2" t="n">
        <v>400</v>
      </c>
      <c r="I136" s="2" t="n">
        <v>400</v>
      </c>
      <c r="J136" s="2"/>
      <c r="K136" s="2" t="n">
        <v>1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1</v>
      </c>
      <c r="Q136" s="2" t="n">
        <v>1</v>
      </c>
      <c r="R136" s="2" t="n">
        <v>0</v>
      </c>
      <c r="S136" s="2" t="n">
        <f aca="false">A137-A136</f>
        <v>0.200000000000017</v>
      </c>
      <c r="T136" s="2" t="n">
        <f aca="false">C136+Summary!$C$8*D136</f>
        <v>0.111458</v>
      </c>
      <c r="U136" s="2" t="n">
        <f aca="false">B136*T136</f>
        <v>1.328913734</v>
      </c>
      <c r="V136" s="2" t="n">
        <f aca="false">B136*C136</f>
        <v>-2.491907</v>
      </c>
      <c r="W136" s="2" t="s">
        <v>67</v>
      </c>
      <c r="X136" s="2" t="s">
        <v>10</v>
      </c>
    </row>
    <row r="137" customFormat="false" ht="15" hidden="false" customHeight="false" outlineLevel="0" collapsed="false">
      <c r="A137" s="2" t="n">
        <v>201.84</v>
      </c>
      <c r="B137" s="2" t="n">
        <v>11.926</v>
      </c>
      <c r="C137" s="2" t="n">
        <v>-0.209</v>
      </c>
      <c r="D137" s="2" t="n">
        <v>3.925</v>
      </c>
      <c r="E137" s="2" t="n">
        <v>0</v>
      </c>
      <c r="F137" s="2" t="n">
        <v>76</v>
      </c>
      <c r="G137" s="2" t="n">
        <v>400</v>
      </c>
      <c r="H137" s="2" t="n">
        <v>25</v>
      </c>
      <c r="I137" s="2" t="n">
        <v>27</v>
      </c>
      <c r="J137" s="2"/>
      <c r="K137" s="2" t="n">
        <v>1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1</v>
      </c>
      <c r="Q137" s="2" t="n">
        <v>1</v>
      </c>
      <c r="R137" s="2" t="n">
        <v>0</v>
      </c>
      <c r="S137" s="2" t="n">
        <f aca="false">A138-A137</f>
        <v>0.199999999999989</v>
      </c>
      <c r="T137" s="2" t="n">
        <f aca="false">C137+Summary!$C$8*D137</f>
        <v>0.1108875</v>
      </c>
      <c r="U137" s="2" t="n">
        <f aca="false">B137*T137</f>
        <v>1.322444325</v>
      </c>
      <c r="V137" s="2" t="n">
        <f aca="false">B137*C137</f>
        <v>-2.492534</v>
      </c>
      <c r="W137" s="2" t="s">
        <v>67</v>
      </c>
      <c r="X137" s="2" t="s">
        <v>10</v>
      </c>
    </row>
    <row r="138" customFormat="false" ht="15" hidden="false" customHeight="false" outlineLevel="0" collapsed="false">
      <c r="A138" s="2" t="n">
        <v>202.04</v>
      </c>
      <c r="B138" s="2" t="n">
        <v>11.926</v>
      </c>
      <c r="C138" s="2" t="n">
        <v>-0.21</v>
      </c>
      <c r="D138" s="2" t="n">
        <v>3.933</v>
      </c>
      <c r="E138" s="2" t="n">
        <v>0</v>
      </c>
      <c r="F138" s="2" t="n">
        <v>76</v>
      </c>
      <c r="G138" s="2" t="n">
        <v>400</v>
      </c>
      <c r="H138" s="2" t="n">
        <v>25</v>
      </c>
      <c r="I138" s="2" t="n">
        <v>27</v>
      </c>
      <c r="J138" s="2"/>
      <c r="K138" s="2" t="n">
        <v>1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1</v>
      </c>
      <c r="Q138" s="2" t="n">
        <v>1</v>
      </c>
      <c r="R138" s="2" t="n">
        <v>0</v>
      </c>
      <c r="S138" s="2" t="n">
        <f aca="false">A139-A138</f>
        <v>0.200000000000017</v>
      </c>
      <c r="T138" s="2" t="n">
        <f aca="false">C138+Summary!$C$8*D138</f>
        <v>0.1105395</v>
      </c>
      <c r="U138" s="2" t="n">
        <f aca="false">B138*T138</f>
        <v>1.318294077</v>
      </c>
      <c r="V138" s="2" t="n">
        <f aca="false">B138*C138</f>
        <v>-2.50446</v>
      </c>
    </row>
    <row r="139" customFormat="false" ht="15" hidden="false" customHeight="false" outlineLevel="0" collapsed="false">
      <c r="A139" s="2" t="n">
        <v>202.24</v>
      </c>
      <c r="B139" s="2" t="n">
        <v>11.918</v>
      </c>
      <c r="C139" s="2" t="n">
        <v>-0.172</v>
      </c>
      <c r="D139" s="2" t="n">
        <v>3.908</v>
      </c>
      <c r="E139" s="2" t="n">
        <v>0</v>
      </c>
      <c r="F139" s="2" t="n">
        <v>76</v>
      </c>
      <c r="G139" s="2" t="n">
        <v>400</v>
      </c>
      <c r="H139" s="2" t="n">
        <v>25</v>
      </c>
      <c r="I139" s="2" t="n">
        <v>29</v>
      </c>
      <c r="J139" s="2"/>
      <c r="K139" s="2" t="n">
        <v>1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1</v>
      </c>
      <c r="Q139" s="2" t="n">
        <v>1</v>
      </c>
      <c r="R139" s="2" t="n">
        <v>0</v>
      </c>
      <c r="S139" s="2" t="n">
        <f aca="false">A140-A139</f>
        <v>0.199999999999989</v>
      </c>
      <c r="T139" s="2" t="n">
        <f aca="false">C139+Summary!$C$8*D139</f>
        <v>0.146502</v>
      </c>
      <c r="U139" s="2" t="n">
        <f aca="false">B139*T139</f>
        <v>1.746010836</v>
      </c>
      <c r="V139" s="2" t="n">
        <f aca="false">B139*C139</f>
        <v>-2.049896</v>
      </c>
    </row>
    <row r="140" customFormat="false" ht="15" hidden="false" customHeight="false" outlineLevel="0" collapsed="false">
      <c r="A140" s="2" t="n">
        <v>202.44</v>
      </c>
      <c r="B140" s="2" t="n">
        <v>11.926</v>
      </c>
      <c r="C140" s="2" t="n">
        <v>-0.212</v>
      </c>
      <c r="D140" s="2" t="n">
        <v>3.949</v>
      </c>
      <c r="E140" s="2" t="n">
        <v>0</v>
      </c>
      <c r="F140" s="2" t="n">
        <v>76</v>
      </c>
      <c r="G140" s="2" t="n">
        <v>400</v>
      </c>
      <c r="H140" s="2" t="n">
        <v>55</v>
      </c>
      <c r="I140" s="2" t="n">
        <v>30</v>
      </c>
      <c r="J140" s="2"/>
      <c r="K140" s="2" t="n">
        <v>1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1</v>
      </c>
      <c r="Q140" s="2" t="n">
        <v>1</v>
      </c>
      <c r="R140" s="2" t="n">
        <v>0</v>
      </c>
      <c r="S140" s="2" t="n">
        <f aca="false">A141-A140</f>
        <v>0.199999999999989</v>
      </c>
      <c r="T140" s="2" t="n">
        <f aca="false">C140+Summary!$C$8*D140</f>
        <v>0.1098435</v>
      </c>
      <c r="U140" s="2" t="n">
        <f aca="false">B140*T140</f>
        <v>1.309993581</v>
      </c>
      <c r="V140" s="2" t="n">
        <f aca="false">B140*C140</f>
        <v>-2.528312</v>
      </c>
    </row>
    <row r="141" customFormat="false" ht="15" hidden="false" customHeight="false" outlineLevel="0" collapsed="false">
      <c r="A141" s="2" t="n">
        <v>202.64</v>
      </c>
      <c r="B141" s="2" t="n">
        <v>11.926</v>
      </c>
      <c r="C141" s="2" t="n">
        <v>-0.213</v>
      </c>
      <c r="D141" s="2" t="n">
        <v>3.97</v>
      </c>
      <c r="E141" s="2" t="n">
        <v>0</v>
      </c>
      <c r="F141" s="2" t="n">
        <v>76</v>
      </c>
      <c r="G141" s="2" t="n">
        <v>400</v>
      </c>
      <c r="H141" s="2" t="n">
        <v>25</v>
      </c>
      <c r="I141" s="2" t="n">
        <v>27</v>
      </c>
      <c r="J141" s="2"/>
      <c r="K141" s="2" t="n">
        <v>1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</v>
      </c>
      <c r="Q141" s="2" t="n">
        <v>1</v>
      </c>
      <c r="R141" s="2" t="n">
        <v>0</v>
      </c>
      <c r="S141" s="2" t="n">
        <f aca="false">A142-A141</f>
        <v>0.200000000000017</v>
      </c>
      <c r="T141" s="2" t="n">
        <f aca="false">C141+Summary!$C$8*D141</f>
        <v>0.110555</v>
      </c>
      <c r="U141" s="2" t="n">
        <f aca="false">B141*T141</f>
        <v>1.31847893</v>
      </c>
      <c r="V141" s="2" t="n">
        <f aca="false">B141*C141</f>
        <v>-2.540238</v>
      </c>
    </row>
    <row r="142" customFormat="false" ht="15" hidden="false" customHeight="false" outlineLevel="0" collapsed="false">
      <c r="A142" s="2" t="n">
        <v>202.84</v>
      </c>
      <c r="B142" s="2" t="n">
        <v>11.926</v>
      </c>
      <c r="C142" s="2" t="n">
        <v>-0.217</v>
      </c>
      <c r="D142" s="2" t="n">
        <v>4.018</v>
      </c>
      <c r="E142" s="2" t="n">
        <v>0</v>
      </c>
      <c r="F142" s="2" t="n">
        <v>76</v>
      </c>
      <c r="G142" s="2" t="n">
        <v>400</v>
      </c>
      <c r="H142" s="2" t="n">
        <v>25</v>
      </c>
      <c r="I142" s="2" t="n">
        <v>29</v>
      </c>
      <c r="J142" s="2"/>
      <c r="K142" s="2" t="n">
        <v>1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</v>
      </c>
      <c r="Q142" s="2" t="n">
        <v>1</v>
      </c>
      <c r="R142" s="2" t="n">
        <v>0</v>
      </c>
      <c r="S142" s="2" t="n">
        <f aca="false">A143-A142</f>
        <v>0.199999999999989</v>
      </c>
      <c r="T142" s="2" t="n">
        <f aca="false">C142+Summary!$C$8*D142</f>
        <v>0.110467</v>
      </c>
      <c r="U142" s="2" t="n">
        <f aca="false">B142*T142</f>
        <v>1.317429442</v>
      </c>
      <c r="V142" s="2" t="n">
        <f aca="false">B142*C142</f>
        <v>-2.587942</v>
      </c>
    </row>
    <row r="143" customFormat="false" ht="15" hidden="false" customHeight="false" outlineLevel="0" collapsed="false">
      <c r="A143" s="2" t="n">
        <v>203.04</v>
      </c>
      <c r="B143" s="2" t="n">
        <v>11.929</v>
      </c>
      <c r="C143" s="2" t="n">
        <v>-0.221</v>
      </c>
      <c r="D143" s="2" t="n">
        <v>4.057</v>
      </c>
      <c r="E143" s="2" t="n">
        <v>0</v>
      </c>
      <c r="F143" s="2" t="n">
        <v>76</v>
      </c>
      <c r="G143" s="2" t="n">
        <v>400</v>
      </c>
      <c r="H143" s="2" t="n">
        <v>25</v>
      </c>
      <c r="I143" s="2" t="n">
        <v>28</v>
      </c>
      <c r="J143" s="2"/>
      <c r="K143" s="2" t="n">
        <v>1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1</v>
      </c>
      <c r="Q143" s="2" t="n">
        <v>1</v>
      </c>
      <c r="R143" s="2" t="n">
        <v>0</v>
      </c>
      <c r="S143" s="2" t="n">
        <f aca="false">A144-A143</f>
        <v>0.200000000000017</v>
      </c>
      <c r="T143" s="2" t="n">
        <f aca="false">C143+Summary!$C$8*D143</f>
        <v>0.1096455</v>
      </c>
      <c r="U143" s="2" t="n">
        <f aca="false">B143*T143</f>
        <v>1.3079611695</v>
      </c>
      <c r="V143" s="2" t="n">
        <f aca="false">B143*C143</f>
        <v>-2.636309</v>
      </c>
    </row>
    <row r="144" customFormat="false" ht="15" hidden="false" customHeight="false" outlineLevel="0" collapsed="false">
      <c r="A144" s="2" t="n">
        <v>203.24</v>
      </c>
      <c r="B144" s="2" t="n">
        <v>11.933</v>
      </c>
      <c r="C144" s="2" t="n">
        <v>-0.224</v>
      </c>
      <c r="D144" s="2" t="n">
        <v>4.107</v>
      </c>
      <c r="E144" s="2" t="n">
        <v>0</v>
      </c>
      <c r="F144" s="2" t="n">
        <v>76</v>
      </c>
      <c r="G144" s="2" t="n">
        <v>400</v>
      </c>
      <c r="H144" s="2" t="n">
        <v>25</v>
      </c>
      <c r="I144" s="2" t="n">
        <v>29</v>
      </c>
      <c r="J144" s="2"/>
      <c r="K144" s="2" t="n">
        <v>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1</v>
      </c>
      <c r="Q144" s="2" t="n">
        <v>1</v>
      </c>
      <c r="R144" s="2" t="n">
        <v>0</v>
      </c>
      <c r="S144" s="2" t="n">
        <f aca="false">A145-A144</f>
        <v>0.199999999999989</v>
      </c>
      <c r="T144" s="2" t="n">
        <f aca="false">C144+Summary!$C$8*D144</f>
        <v>0.1107205</v>
      </c>
      <c r="U144" s="2" t="n">
        <f aca="false">B144*T144</f>
        <v>1.3212277265</v>
      </c>
      <c r="V144" s="2" t="n">
        <f aca="false">B144*C144</f>
        <v>-2.672992</v>
      </c>
    </row>
    <row r="145" customFormat="false" ht="15" hidden="false" customHeight="false" outlineLevel="0" collapsed="false">
      <c r="A145" s="2" t="n">
        <v>203.44</v>
      </c>
      <c r="B145" s="2" t="n">
        <v>11.929</v>
      </c>
      <c r="C145" s="2" t="n">
        <v>-0.229</v>
      </c>
      <c r="D145" s="2" t="n">
        <v>4.165</v>
      </c>
      <c r="E145" s="2" t="n">
        <v>0</v>
      </c>
      <c r="F145" s="2" t="n">
        <v>76</v>
      </c>
      <c r="G145" s="2" t="n">
        <v>400</v>
      </c>
      <c r="H145" s="2" t="n">
        <v>25</v>
      </c>
      <c r="I145" s="2" t="n">
        <v>29</v>
      </c>
      <c r="J145" s="2"/>
      <c r="K145" s="2" t="n">
        <v>1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1</v>
      </c>
      <c r="Q145" s="2" t="n">
        <v>1</v>
      </c>
      <c r="R145" s="2" t="n">
        <v>0</v>
      </c>
      <c r="S145" s="2" t="n">
        <f aca="false">A146-A145</f>
        <v>0.199999999999989</v>
      </c>
      <c r="T145" s="2" t="n">
        <f aca="false">C145+Summary!$C$8*D145</f>
        <v>0.1104475</v>
      </c>
      <c r="U145" s="2" t="n">
        <f aca="false">B145*T145</f>
        <v>1.3175282275</v>
      </c>
      <c r="V145" s="2" t="n">
        <f aca="false">B145*C145</f>
        <v>-2.731741</v>
      </c>
    </row>
    <row r="146" customFormat="false" ht="15" hidden="false" customHeight="false" outlineLevel="0" collapsed="false">
      <c r="A146" s="2" t="n">
        <v>203.64</v>
      </c>
      <c r="B146" s="2" t="n">
        <v>11.928</v>
      </c>
      <c r="C146" s="2" t="n">
        <v>-0.234</v>
      </c>
      <c r="D146" s="2" t="n">
        <v>4.223</v>
      </c>
      <c r="E146" s="2" t="n">
        <v>0</v>
      </c>
      <c r="F146" s="2" t="n">
        <v>76</v>
      </c>
      <c r="G146" s="2" t="n">
        <v>400</v>
      </c>
      <c r="H146" s="2" t="n">
        <v>25</v>
      </c>
      <c r="I146" s="2" t="n">
        <v>29</v>
      </c>
      <c r="J146" s="2"/>
      <c r="K146" s="2" t="n">
        <v>1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1</v>
      </c>
      <c r="Q146" s="2" t="n">
        <v>1</v>
      </c>
      <c r="R146" s="2" t="n">
        <v>0</v>
      </c>
      <c r="S146" s="2" t="n">
        <f aca="false">A147-A146</f>
        <v>0.200000000000017</v>
      </c>
      <c r="T146" s="2" t="n">
        <f aca="false">C146+Summary!$C$8*D146</f>
        <v>0.1101745</v>
      </c>
      <c r="U146" s="2" t="n">
        <f aca="false">B146*T146</f>
        <v>1.314161436</v>
      </c>
      <c r="V146" s="2" t="n">
        <f aca="false">B146*C146</f>
        <v>-2.791152</v>
      </c>
    </row>
    <row r="147" customFormat="false" ht="15" hidden="false" customHeight="false" outlineLevel="0" collapsed="false">
      <c r="A147" s="2" t="n">
        <v>203.84</v>
      </c>
      <c r="B147" s="2" t="n">
        <v>11.932</v>
      </c>
      <c r="C147" s="2" t="n">
        <v>-0.237</v>
      </c>
      <c r="D147" s="2" t="n">
        <v>4.261</v>
      </c>
      <c r="E147" s="2" t="n">
        <v>0</v>
      </c>
      <c r="F147" s="2" t="n">
        <v>76</v>
      </c>
      <c r="G147" s="2" t="n">
        <v>400</v>
      </c>
      <c r="H147" s="2" t="n">
        <v>25</v>
      </c>
      <c r="I147" s="2" t="n">
        <v>29</v>
      </c>
      <c r="J147" s="2"/>
      <c r="K147" s="2" t="n">
        <v>1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1</v>
      </c>
      <c r="Q147" s="2" t="n">
        <v>1</v>
      </c>
      <c r="R147" s="2" t="n">
        <v>0</v>
      </c>
      <c r="S147" s="2" t="n">
        <f aca="false">A148-A147</f>
        <v>0.199999999999989</v>
      </c>
      <c r="T147" s="2" t="n">
        <f aca="false">C147+Summary!$C$8*D147</f>
        <v>0.1102715</v>
      </c>
      <c r="U147" s="2" t="n">
        <f aca="false">B147*T147</f>
        <v>1.315759538</v>
      </c>
      <c r="V147" s="2" t="n">
        <f aca="false">B147*C147</f>
        <v>-2.827884</v>
      </c>
    </row>
    <row r="148" customFormat="false" ht="15" hidden="false" customHeight="false" outlineLevel="0" collapsed="false">
      <c r="A148" s="2" t="n">
        <v>204.04</v>
      </c>
      <c r="B148" s="2" t="n">
        <v>11.936</v>
      </c>
      <c r="C148" s="2" t="n">
        <v>-0.233</v>
      </c>
      <c r="D148" s="2" t="n">
        <v>4.269</v>
      </c>
      <c r="E148" s="2" t="n">
        <v>0</v>
      </c>
      <c r="F148" s="2" t="n">
        <v>76</v>
      </c>
      <c r="G148" s="2" t="n">
        <v>400</v>
      </c>
      <c r="H148" s="2" t="n">
        <v>24</v>
      </c>
      <c r="I148" s="2" t="n">
        <v>29</v>
      </c>
      <c r="J148" s="2"/>
      <c r="K148" s="2" t="n">
        <v>1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1</v>
      </c>
      <c r="Q148" s="2" t="n">
        <v>1</v>
      </c>
      <c r="R148" s="2" t="n">
        <v>0</v>
      </c>
      <c r="S148" s="2" t="n">
        <f aca="false">A149-A148</f>
        <v>0.200000000000017</v>
      </c>
      <c r="T148" s="2" t="n">
        <f aca="false">C148+Summary!$C$8*D148</f>
        <v>0.1149235</v>
      </c>
      <c r="U148" s="2" t="n">
        <f aca="false">B148*T148</f>
        <v>1.371726896</v>
      </c>
      <c r="V148" s="2" t="n">
        <f aca="false">B148*C148</f>
        <v>-2.781088</v>
      </c>
    </row>
    <row r="149" customFormat="false" ht="15" hidden="false" customHeight="false" outlineLevel="0" collapsed="false">
      <c r="A149" s="2" t="n">
        <v>204.24</v>
      </c>
      <c r="B149" s="2" t="n">
        <v>11.935</v>
      </c>
      <c r="C149" s="2" t="n">
        <v>-0.241</v>
      </c>
      <c r="D149" s="2" t="n">
        <v>4.29</v>
      </c>
      <c r="E149" s="2" t="n">
        <v>0</v>
      </c>
      <c r="F149" s="2" t="n">
        <v>76</v>
      </c>
      <c r="G149" s="2" t="n">
        <v>400</v>
      </c>
      <c r="H149" s="2" t="n">
        <v>24</v>
      </c>
      <c r="I149" s="2" t="n">
        <v>28</v>
      </c>
      <c r="J149" s="2"/>
      <c r="K149" s="2" t="n">
        <v>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1</v>
      </c>
      <c r="Q149" s="2" t="n">
        <v>1</v>
      </c>
      <c r="R149" s="2" t="n">
        <v>0</v>
      </c>
      <c r="S149" s="2" t="n">
        <f aca="false">A150-A149</f>
        <v>0.199999999999989</v>
      </c>
      <c r="T149" s="2" t="n">
        <f aca="false">C149+Summary!$C$8*D149</f>
        <v>0.108635</v>
      </c>
      <c r="U149" s="2" t="n">
        <f aca="false">B149*T149</f>
        <v>1.296558725</v>
      </c>
      <c r="V149" s="2" t="n">
        <f aca="false">B149*C149</f>
        <v>-2.876335</v>
      </c>
    </row>
    <row r="150" customFormat="false" ht="15" hidden="false" customHeight="false" outlineLevel="0" collapsed="false">
      <c r="A150" s="2" t="n">
        <v>204.44</v>
      </c>
      <c r="B150" s="2" t="n">
        <v>11.935</v>
      </c>
      <c r="C150" s="2" t="n">
        <v>-0.241</v>
      </c>
      <c r="D150" s="2" t="n">
        <v>4.306</v>
      </c>
      <c r="E150" s="2" t="n">
        <v>0</v>
      </c>
      <c r="F150" s="2" t="n">
        <v>76</v>
      </c>
      <c r="G150" s="2" t="n">
        <v>400</v>
      </c>
      <c r="H150" s="2" t="n">
        <v>24</v>
      </c>
      <c r="I150" s="2" t="n">
        <v>29</v>
      </c>
      <c r="J150" s="2"/>
      <c r="K150" s="2" t="n">
        <v>1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1</v>
      </c>
      <c r="Q150" s="2" t="n">
        <v>1</v>
      </c>
      <c r="R150" s="2" t="n">
        <v>0</v>
      </c>
      <c r="S150" s="2" t="n">
        <f aca="false">A151-A150</f>
        <v>0.199999999999989</v>
      </c>
      <c r="T150" s="2" t="n">
        <f aca="false">C150+Summary!$C$8*D150</f>
        <v>0.109939</v>
      </c>
      <c r="U150" s="2" t="n">
        <f aca="false">B150*T150</f>
        <v>1.312121965</v>
      </c>
      <c r="V150" s="2" t="n">
        <f aca="false">B150*C150</f>
        <v>-2.876335</v>
      </c>
    </row>
    <row r="151" customFormat="false" ht="15" hidden="false" customHeight="false" outlineLevel="0" collapsed="false">
      <c r="A151" s="2" t="n">
        <v>204.64</v>
      </c>
      <c r="B151" s="2" t="n">
        <v>11.939</v>
      </c>
      <c r="C151" s="2" t="n">
        <v>-0.243</v>
      </c>
      <c r="D151" s="2" t="n">
        <v>4.329</v>
      </c>
      <c r="E151" s="2" t="n">
        <v>0</v>
      </c>
      <c r="F151" s="2" t="n">
        <v>76</v>
      </c>
      <c r="G151" s="2" t="n">
        <v>400</v>
      </c>
      <c r="H151" s="2" t="n">
        <v>24</v>
      </c>
      <c r="I151" s="2" t="n">
        <v>28</v>
      </c>
      <c r="J151" s="2"/>
      <c r="K151" s="2" t="n">
        <v>1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1</v>
      </c>
      <c r="Q151" s="2" t="n">
        <v>1</v>
      </c>
      <c r="R151" s="2" t="n">
        <v>0</v>
      </c>
      <c r="S151" s="2" t="n">
        <f aca="false">A152-A151</f>
        <v>0.200000000000017</v>
      </c>
      <c r="T151" s="2" t="n">
        <f aca="false">C151+Summary!$C$8*D151</f>
        <v>0.1098135</v>
      </c>
      <c r="U151" s="2" t="n">
        <f aca="false">B151*T151</f>
        <v>1.3110633765</v>
      </c>
      <c r="V151" s="2" t="n">
        <f aca="false">B151*C151</f>
        <v>-2.901177</v>
      </c>
    </row>
    <row r="152" customFormat="false" ht="15" hidden="false" customHeight="false" outlineLevel="0" collapsed="false">
      <c r="A152" s="2" t="n">
        <v>204.84</v>
      </c>
      <c r="B152" s="2" t="n">
        <v>11.939</v>
      </c>
      <c r="C152" s="2" t="n">
        <v>-0.243</v>
      </c>
      <c r="D152" s="2" t="n">
        <v>4.343</v>
      </c>
      <c r="E152" s="2" t="n">
        <v>0</v>
      </c>
      <c r="F152" s="2" t="n">
        <v>76</v>
      </c>
      <c r="G152" s="2" t="n">
        <v>400</v>
      </c>
      <c r="H152" s="2" t="n">
        <v>54</v>
      </c>
      <c r="I152" s="2" t="n">
        <v>29</v>
      </c>
      <c r="J152" s="2"/>
      <c r="K152" s="2" t="n">
        <v>1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1</v>
      </c>
      <c r="Q152" s="2" t="n">
        <v>1</v>
      </c>
      <c r="R152" s="2" t="n">
        <v>0</v>
      </c>
      <c r="S152" s="2" t="n">
        <f aca="false">A153-A152</f>
        <v>0.199999999999989</v>
      </c>
      <c r="T152" s="2" t="n">
        <f aca="false">C152+Summary!$C$8*D152</f>
        <v>0.1109545</v>
      </c>
      <c r="U152" s="2" t="n">
        <f aca="false">B152*T152</f>
        <v>1.3246857755</v>
      </c>
      <c r="V152" s="2" t="n">
        <f aca="false">B152*C152</f>
        <v>-2.901177</v>
      </c>
    </row>
    <row r="153" customFormat="false" ht="15" hidden="false" customHeight="false" outlineLevel="0" collapsed="false">
      <c r="A153" s="2" t="n">
        <v>205.04</v>
      </c>
      <c r="B153" s="2" t="n">
        <v>11.935</v>
      </c>
      <c r="C153" s="2" t="n">
        <v>-0.244</v>
      </c>
      <c r="D153" s="2" t="n">
        <v>4.359</v>
      </c>
      <c r="E153" s="2" t="n">
        <v>0</v>
      </c>
      <c r="F153" s="2" t="n">
        <v>76</v>
      </c>
      <c r="G153" s="2" t="n">
        <v>400</v>
      </c>
      <c r="H153" s="2" t="n">
        <v>25</v>
      </c>
      <c r="I153" s="2" t="n">
        <v>28</v>
      </c>
      <c r="J153" s="2"/>
      <c r="K153" s="2" t="n">
        <v>1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1</v>
      </c>
      <c r="Q153" s="2" t="n">
        <v>1</v>
      </c>
      <c r="R153" s="2" t="n">
        <v>0</v>
      </c>
      <c r="S153" s="2" t="n">
        <f aca="false">A154-A153</f>
        <v>0.200000000000017</v>
      </c>
      <c r="T153" s="2" t="n">
        <f aca="false">C153+Summary!$C$8*D153</f>
        <v>0.1112585</v>
      </c>
      <c r="U153" s="2" t="n">
        <f aca="false">B153*T153</f>
        <v>1.3278701975</v>
      </c>
      <c r="V153" s="2" t="n">
        <f aca="false">B153*C153</f>
        <v>-2.91214</v>
      </c>
    </row>
    <row r="154" customFormat="false" ht="15" hidden="false" customHeight="false" outlineLevel="0" collapsed="false">
      <c r="A154" s="2" t="n">
        <v>205.24</v>
      </c>
      <c r="B154" s="2" t="n">
        <v>11.935</v>
      </c>
      <c r="C154" s="2" t="n">
        <v>-0.245</v>
      </c>
      <c r="D154" s="2" t="n">
        <v>4.359</v>
      </c>
      <c r="E154" s="2" t="n">
        <v>0</v>
      </c>
      <c r="F154" s="2" t="n">
        <v>76</v>
      </c>
      <c r="G154" s="2" t="n">
        <v>400</v>
      </c>
      <c r="H154" s="2" t="n">
        <v>400</v>
      </c>
      <c r="I154" s="2" t="n">
        <v>28</v>
      </c>
      <c r="J154" s="2"/>
      <c r="K154" s="2" t="n">
        <v>1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1</v>
      </c>
      <c r="Q154" s="2" t="n">
        <v>1</v>
      </c>
      <c r="R154" s="2" t="n">
        <v>0</v>
      </c>
      <c r="S154" s="2" t="n">
        <f aca="false">A155-A154</f>
        <v>0.199999999999989</v>
      </c>
      <c r="T154" s="2" t="n">
        <f aca="false">C154+Summary!$C$8*D154</f>
        <v>0.1102585</v>
      </c>
      <c r="U154" s="2" t="n">
        <f aca="false">B154*T154</f>
        <v>1.3159351975</v>
      </c>
      <c r="V154" s="2" t="n">
        <f aca="false">B154*C154</f>
        <v>-2.924075</v>
      </c>
    </row>
    <row r="155" customFormat="false" ht="15" hidden="false" customHeight="false" outlineLevel="0" collapsed="false">
      <c r="A155" s="2" t="n">
        <v>205.44</v>
      </c>
      <c r="B155" s="2" t="n">
        <v>11.935</v>
      </c>
      <c r="C155" s="2" t="n">
        <v>-0.244</v>
      </c>
      <c r="D155" s="2" t="n">
        <v>4.342</v>
      </c>
      <c r="E155" s="2" t="n">
        <v>0</v>
      </c>
      <c r="F155" s="2" t="n">
        <v>76</v>
      </c>
      <c r="G155" s="2" t="n">
        <v>400</v>
      </c>
      <c r="H155" s="2" t="n">
        <v>25</v>
      </c>
      <c r="I155" s="2" t="n">
        <v>29</v>
      </c>
      <c r="J155" s="2"/>
      <c r="K155" s="2" t="n">
        <v>1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1</v>
      </c>
      <c r="Q155" s="2" t="n">
        <v>1</v>
      </c>
      <c r="R155" s="2" t="n">
        <v>0</v>
      </c>
      <c r="S155" s="2" t="n">
        <f aca="false">A156-A155</f>
        <v>0.199999999999989</v>
      </c>
      <c r="T155" s="2" t="n">
        <f aca="false">C155+Summary!$C$8*D155</f>
        <v>0.109873</v>
      </c>
      <c r="U155" s="2" t="n">
        <f aca="false">B155*T155</f>
        <v>1.311334255</v>
      </c>
      <c r="V155" s="2" t="n">
        <f aca="false">B155*C155</f>
        <v>-2.91214</v>
      </c>
    </row>
    <row r="156" customFormat="false" ht="15" hidden="false" customHeight="false" outlineLevel="0" collapsed="false">
      <c r="A156" s="2" t="n">
        <v>205.64</v>
      </c>
      <c r="B156" s="2" t="n">
        <v>11.939</v>
      </c>
      <c r="C156" s="2" t="n">
        <v>-0.241</v>
      </c>
      <c r="D156" s="2" t="n">
        <v>4.317</v>
      </c>
      <c r="E156" s="2" t="n">
        <v>0</v>
      </c>
      <c r="F156" s="2" t="n">
        <v>76</v>
      </c>
      <c r="G156" s="2" t="n">
        <v>400</v>
      </c>
      <c r="H156" s="2" t="n">
        <v>25</v>
      </c>
      <c r="I156" s="2" t="n">
        <v>28</v>
      </c>
      <c r="J156" s="2"/>
      <c r="K156" s="2" t="n">
        <v>1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1</v>
      </c>
      <c r="Q156" s="2" t="n">
        <v>1</v>
      </c>
      <c r="R156" s="2" t="n">
        <v>0</v>
      </c>
      <c r="S156" s="2" t="n">
        <f aca="false">A157-A156</f>
        <v>0.200000000000017</v>
      </c>
      <c r="T156" s="2" t="n">
        <f aca="false">C156+Summary!$C$8*D156</f>
        <v>0.1108355</v>
      </c>
      <c r="U156" s="2" t="n">
        <f aca="false">B156*T156</f>
        <v>1.3232650345</v>
      </c>
      <c r="V156" s="2" t="n">
        <f aca="false">B156*C156</f>
        <v>-2.877299</v>
      </c>
    </row>
    <row r="157" customFormat="false" ht="15" hidden="false" customHeight="false" outlineLevel="0" collapsed="false">
      <c r="A157" s="2" t="n">
        <v>205.84</v>
      </c>
      <c r="B157" s="2" t="n">
        <v>11.935</v>
      </c>
      <c r="C157" s="2" t="n">
        <v>-0.239</v>
      </c>
      <c r="D157" s="2" t="n">
        <v>4.286</v>
      </c>
      <c r="E157" s="2" t="n">
        <v>0</v>
      </c>
      <c r="F157" s="2" t="n">
        <v>76</v>
      </c>
      <c r="G157" s="2" t="n">
        <v>400</v>
      </c>
      <c r="H157" s="2" t="n">
        <v>25</v>
      </c>
      <c r="I157" s="2" t="n">
        <v>29</v>
      </c>
      <c r="J157" s="2"/>
      <c r="K157" s="2" t="n">
        <v>1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1</v>
      </c>
      <c r="Q157" s="2" t="n">
        <v>1</v>
      </c>
      <c r="R157" s="2" t="n">
        <v>0</v>
      </c>
      <c r="S157" s="2" t="n">
        <f aca="false">A158-A157</f>
        <v>0.199999999999989</v>
      </c>
      <c r="T157" s="2" t="n">
        <f aca="false">C157+Summary!$C$8*D157</f>
        <v>0.110309</v>
      </c>
      <c r="U157" s="2" t="n">
        <f aca="false">B157*T157</f>
        <v>1.316537915</v>
      </c>
      <c r="V157" s="2" t="n">
        <f aca="false">B157*C157</f>
        <v>-2.852465</v>
      </c>
    </row>
    <row r="158" customFormat="false" ht="15" hidden="false" customHeight="false" outlineLevel="0" collapsed="false">
      <c r="A158" s="2" t="n">
        <v>206.04</v>
      </c>
      <c r="B158" s="2" t="n">
        <v>11.932</v>
      </c>
      <c r="C158" s="2" t="n">
        <v>-0.237</v>
      </c>
      <c r="D158" s="2" t="n">
        <v>4.257</v>
      </c>
      <c r="E158" s="2" t="n">
        <v>0</v>
      </c>
      <c r="F158" s="2" t="n">
        <v>76</v>
      </c>
      <c r="G158" s="2" t="n">
        <v>400</v>
      </c>
      <c r="H158" s="2" t="n">
        <v>25</v>
      </c>
      <c r="I158" s="2" t="n">
        <v>29</v>
      </c>
      <c r="J158" s="2"/>
      <c r="K158" s="2" t="n">
        <v>1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1</v>
      </c>
      <c r="Q158" s="2" t="n">
        <v>1</v>
      </c>
      <c r="R158" s="2" t="n">
        <v>0</v>
      </c>
      <c r="S158" s="2" t="n">
        <f aca="false">A159-A158</f>
        <v>0.200000000000017</v>
      </c>
      <c r="T158" s="2" t="n">
        <f aca="false">C158+Summary!$C$8*D158</f>
        <v>0.1099455</v>
      </c>
      <c r="U158" s="2" t="n">
        <f aca="false">B158*T158</f>
        <v>1.311869706</v>
      </c>
      <c r="V158" s="2" t="n">
        <f aca="false">B158*C158</f>
        <v>-2.827884</v>
      </c>
    </row>
    <row r="159" customFormat="false" ht="15" hidden="false" customHeight="false" outlineLevel="0" collapsed="false">
      <c r="A159" s="2" t="n">
        <v>206.24</v>
      </c>
      <c r="B159" s="2" t="n">
        <v>11.936</v>
      </c>
      <c r="C159" s="2" t="n">
        <v>-0.235</v>
      </c>
      <c r="D159" s="2" t="n">
        <v>4.225</v>
      </c>
      <c r="E159" s="2" t="n">
        <v>0</v>
      </c>
      <c r="F159" s="2" t="n">
        <v>76</v>
      </c>
      <c r="G159" s="2" t="n">
        <v>400</v>
      </c>
      <c r="H159" s="2" t="n">
        <v>32</v>
      </c>
      <c r="I159" s="2" t="n">
        <v>29</v>
      </c>
      <c r="J159" s="2"/>
      <c r="K159" s="2" t="n">
        <v>1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1</v>
      </c>
      <c r="Q159" s="2" t="n">
        <v>1</v>
      </c>
      <c r="R159" s="2" t="n">
        <v>0</v>
      </c>
      <c r="S159" s="2" t="n">
        <f aca="false">A160-A159</f>
        <v>0.199999999999989</v>
      </c>
      <c r="T159" s="2" t="n">
        <f aca="false">C159+Summary!$C$8*D159</f>
        <v>0.1093375</v>
      </c>
      <c r="U159" s="2" t="n">
        <f aca="false">B159*T159</f>
        <v>1.3050524</v>
      </c>
      <c r="V159" s="2" t="n">
        <f aca="false">B159*C159</f>
        <v>-2.80496</v>
      </c>
    </row>
    <row r="160" customFormat="false" ht="15" hidden="false" customHeight="false" outlineLevel="0" collapsed="false">
      <c r="A160" s="2" t="n">
        <v>206.44</v>
      </c>
      <c r="B160" s="2" t="n">
        <v>11.932</v>
      </c>
      <c r="C160" s="2" t="n">
        <v>-0.233</v>
      </c>
      <c r="D160" s="2" t="n">
        <v>4.218</v>
      </c>
      <c r="E160" s="2" t="n">
        <v>0</v>
      </c>
      <c r="F160" s="2" t="n">
        <v>76</v>
      </c>
      <c r="G160" s="2" t="n">
        <v>400</v>
      </c>
      <c r="H160" s="2" t="n">
        <v>25</v>
      </c>
      <c r="I160" s="2" t="n">
        <v>29</v>
      </c>
      <c r="J160" s="2"/>
      <c r="K160" s="2" t="n">
        <v>1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1</v>
      </c>
      <c r="Q160" s="2" t="n">
        <v>1</v>
      </c>
      <c r="R160" s="2" t="n">
        <v>0</v>
      </c>
      <c r="S160" s="2" t="n">
        <f aca="false">A161-A160</f>
        <v>0.199999999999989</v>
      </c>
      <c r="T160" s="2" t="n">
        <f aca="false">C160+Summary!$C$8*D160</f>
        <v>0.110767</v>
      </c>
      <c r="U160" s="2" t="n">
        <f aca="false">B160*T160</f>
        <v>1.321671844</v>
      </c>
      <c r="V160" s="2" t="n">
        <f aca="false">B160*C160</f>
        <v>-2.780156</v>
      </c>
    </row>
    <row r="161" customFormat="false" ht="15" hidden="false" customHeight="false" outlineLevel="0" collapsed="false">
      <c r="A161" s="2" t="n">
        <v>206.64</v>
      </c>
      <c r="B161" s="2" t="n">
        <v>11.924</v>
      </c>
      <c r="C161" s="2" t="n">
        <v>-0.213</v>
      </c>
      <c r="D161" s="2" t="n">
        <v>4.198</v>
      </c>
      <c r="E161" s="2" t="n">
        <v>0</v>
      </c>
      <c r="F161" s="2" t="n">
        <v>76</v>
      </c>
      <c r="G161" s="2" t="n">
        <v>400</v>
      </c>
      <c r="H161" s="2" t="n">
        <v>25</v>
      </c>
      <c r="I161" s="2" t="n">
        <v>27</v>
      </c>
      <c r="J161" s="2"/>
      <c r="K161" s="2" t="n">
        <v>1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1</v>
      </c>
      <c r="Q161" s="2" t="n">
        <v>1</v>
      </c>
      <c r="R161" s="2" t="n">
        <v>0</v>
      </c>
      <c r="S161" s="2" t="n">
        <f aca="false">A162-A161</f>
        <v>0.200000000000017</v>
      </c>
      <c r="T161" s="2" t="n">
        <f aca="false">C161+Summary!$C$8*D161</f>
        <v>0.129137</v>
      </c>
      <c r="U161" s="2" t="n">
        <f aca="false">B161*T161</f>
        <v>1.539829588</v>
      </c>
      <c r="V161" s="2" t="n">
        <f aca="false">B161*C161</f>
        <v>-2.539812</v>
      </c>
    </row>
    <row r="162" customFormat="false" ht="15" hidden="false" customHeight="false" outlineLevel="0" collapsed="false">
      <c r="A162" s="2" t="n">
        <v>206.84</v>
      </c>
      <c r="B162" s="2" t="n">
        <v>11.932</v>
      </c>
      <c r="C162" s="2" t="n">
        <v>-0.232</v>
      </c>
      <c r="D162" s="2" t="n">
        <v>4.205</v>
      </c>
      <c r="E162" s="2" t="n">
        <v>0</v>
      </c>
      <c r="F162" s="2" t="n">
        <v>76</v>
      </c>
      <c r="G162" s="2" t="n">
        <v>400</v>
      </c>
      <c r="H162" s="2" t="n">
        <v>25</v>
      </c>
      <c r="I162" s="2" t="n">
        <v>28</v>
      </c>
      <c r="J162" s="2"/>
      <c r="K162" s="2" t="n">
        <v>1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1</v>
      </c>
      <c r="Q162" s="2" t="n">
        <v>1</v>
      </c>
      <c r="R162" s="2" t="n">
        <v>0</v>
      </c>
      <c r="S162" s="2" t="n">
        <f aca="false">A163-A162</f>
        <v>0.199999999999989</v>
      </c>
      <c r="T162" s="2" t="n">
        <f aca="false">C162+Summary!$C$8*D162</f>
        <v>0.1107075</v>
      </c>
      <c r="U162" s="2" t="n">
        <f aca="false">B162*T162</f>
        <v>1.32096189</v>
      </c>
      <c r="V162" s="2" t="n">
        <f aca="false">B162*C162</f>
        <v>-2.768224</v>
      </c>
    </row>
    <row r="163" customFormat="false" ht="15" hidden="false" customHeight="false" outlineLevel="0" collapsed="false">
      <c r="A163" s="2" t="n">
        <v>207.04</v>
      </c>
      <c r="B163" s="2" t="n">
        <v>11.936</v>
      </c>
      <c r="C163" s="2" t="n">
        <v>-0.232</v>
      </c>
      <c r="D163" s="2" t="n">
        <v>4.198</v>
      </c>
      <c r="E163" s="2" t="n">
        <v>0</v>
      </c>
      <c r="F163" s="2" t="n">
        <v>76</v>
      </c>
      <c r="G163" s="2" t="n">
        <v>400</v>
      </c>
      <c r="H163" s="2" t="n">
        <v>25</v>
      </c>
      <c r="I163" s="2" t="n">
        <v>27</v>
      </c>
      <c r="J163" s="2"/>
      <c r="K163" s="2" t="n">
        <v>1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1</v>
      </c>
      <c r="Q163" s="2" t="n">
        <v>1</v>
      </c>
      <c r="R163" s="2" t="n">
        <v>0</v>
      </c>
      <c r="S163" s="2" t="n">
        <f aca="false">A164-A163</f>
        <v>0.200000000000017</v>
      </c>
      <c r="T163" s="2" t="n">
        <f aca="false">C163+Summary!$C$8*D163</f>
        <v>0.110137</v>
      </c>
      <c r="U163" s="2" t="n">
        <f aca="false">B163*T163</f>
        <v>1.314595232</v>
      </c>
      <c r="V163" s="2" t="n">
        <f aca="false">B163*C163</f>
        <v>-2.769152</v>
      </c>
    </row>
    <row r="164" customFormat="false" ht="15" hidden="false" customHeight="false" outlineLevel="0" collapsed="false">
      <c r="A164" s="2" t="n">
        <v>207.24</v>
      </c>
      <c r="B164" s="2" t="n">
        <v>11.936</v>
      </c>
      <c r="C164" s="2" t="n">
        <v>-0.233</v>
      </c>
      <c r="D164" s="2" t="n">
        <v>4.206</v>
      </c>
      <c r="E164" s="2" t="n">
        <v>0</v>
      </c>
      <c r="F164" s="2" t="n">
        <v>76</v>
      </c>
      <c r="G164" s="2" t="n">
        <v>400</v>
      </c>
      <c r="H164" s="2" t="n">
        <v>26</v>
      </c>
      <c r="I164" s="2" t="n">
        <v>28</v>
      </c>
      <c r="J164" s="2"/>
      <c r="K164" s="2" t="n">
        <v>1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1</v>
      </c>
      <c r="Q164" s="2" t="n">
        <v>1</v>
      </c>
      <c r="R164" s="2" t="n">
        <v>0</v>
      </c>
      <c r="S164" s="2" t="n">
        <f aca="false">A165-A164</f>
        <v>0.199999999999989</v>
      </c>
      <c r="T164" s="2" t="n">
        <f aca="false">C164+Summary!$C$8*D164</f>
        <v>0.109789</v>
      </c>
      <c r="U164" s="2" t="n">
        <f aca="false">B164*T164</f>
        <v>1.310441504</v>
      </c>
      <c r="V164" s="2" t="n">
        <f aca="false">B164*C164</f>
        <v>-2.781088</v>
      </c>
    </row>
    <row r="165" customFormat="false" ht="15" hidden="false" customHeight="false" outlineLevel="0" collapsed="false">
      <c r="A165" s="2" t="n">
        <v>207.44</v>
      </c>
      <c r="B165" s="2" t="n">
        <v>11.936</v>
      </c>
      <c r="C165" s="2" t="n">
        <v>-0.233</v>
      </c>
      <c r="D165" s="2" t="n">
        <v>4.203</v>
      </c>
      <c r="E165" s="2" t="n">
        <v>0</v>
      </c>
      <c r="F165" s="2" t="n">
        <v>76</v>
      </c>
      <c r="G165" s="2" t="n">
        <v>400</v>
      </c>
      <c r="H165" s="2" t="n">
        <v>25</v>
      </c>
      <c r="I165" s="2" t="n">
        <v>29</v>
      </c>
      <c r="J165" s="2"/>
      <c r="K165" s="2" t="n">
        <v>1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</v>
      </c>
      <c r="Q165" s="2" t="n">
        <v>1</v>
      </c>
      <c r="R165" s="2" t="n">
        <v>0</v>
      </c>
      <c r="S165" s="2" t="n">
        <f aca="false">A166-A165</f>
        <v>0.199999999999989</v>
      </c>
      <c r="T165" s="2" t="n">
        <f aca="false">C165+Summary!$C$8*D165</f>
        <v>0.1095445</v>
      </c>
      <c r="U165" s="2" t="n">
        <f aca="false">B165*T165</f>
        <v>1.307523152</v>
      </c>
      <c r="V165" s="2" t="n">
        <f aca="false">B165*C165</f>
        <v>-2.781088</v>
      </c>
    </row>
    <row r="166" customFormat="false" ht="15" hidden="false" customHeight="false" outlineLevel="0" collapsed="false">
      <c r="A166" s="2" t="n">
        <v>207.64</v>
      </c>
      <c r="B166" s="2" t="n">
        <v>11.936</v>
      </c>
      <c r="C166" s="2" t="n">
        <v>-0.234</v>
      </c>
      <c r="D166" s="2" t="n">
        <v>4.216</v>
      </c>
      <c r="E166" s="2" t="n">
        <v>0</v>
      </c>
      <c r="F166" s="2" t="n">
        <v>76</v>
      </c>
      <c r="G166" s="2" t="n">
        <v>400</v>
      </c>
      <c r="H166" s="2" t="n">
        <v>25</v>
      </c>
      <c r="I166" s="2" t="n">
        <v>63</v>
      </c>
      <c r="J166" s="2"/>
      <c r="K166" s="2" t="n">
        <v>1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</v>
      </c>
      <c r="Q166" s="2" t="n">
        <v>1</v>
      </c>
      <c r="R166" s="2" t="n">
        <v>0</v>
      </c>
      <c r="S166" s="2" t="n">
        <f aca="false">A167-A166</f>
        <v>0.200000000000017</v>
      </c>
      <c r="T166" s="2" t="n">
        <f aca="false">C166+Summary!$C$8*D166</f>
        <v>0.109604</v>
      </c>
      <c r="U166" s="2" t="n">
        <f aca="false">B166*T166</f>
        <v>1.308233344</v>
      </c>
      <c r="V166" s="2" t="n">
        <f aca="false">B166*C166</f>
        <v>-2.793024</v>
      </c>
    </row>
    <row r="167" customFormat="false" ht="15" hidden="false" customHeight="false" outlineLevel="0" collapsed="false">
      <c r="A167" s="2" t="n">
        <v>207.84</v>
      </c>
      <c r="B167" s="2" t="n">
        <v>11.94</v>
      </c>
      <c r="C167" s="2" t="n">
        <v>-0.232</v>
      </c>
      <c r="D167" s="2" t="n">
        <v>4.236</v>
      </c>
      <c r="E167" s="2" t="n">
        <v>0</v>
      </c>
      <c r="F167" s="2" t="n">
        <v>76</v>
      </c>
      <c r="G167" s="2" t="n">
        <v>400</v>
      </c>
      <c r="H167" s="2" t="n">
        <v>24</v>
      </c>
      <c r="I167" s="2" t="n">
        <v>29</v>
      </c>
      <c r="J167" s="2"/>
      <c r="K167" s="2" t="n">
        <v>1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1</v>
      </c>
      <c r="Q167" s="2" t="n">
        <v>1</v>
      </c>
      <c r="R167" s="2" t="n">
        <v>0</v>
      </c>
      <c r="S167" s="2" t="n">
        <f aca="false">A168-A167</f>
        <v>0.199999999999989</v>
      </c>
      <c r="T167" s="2" t="n">
        <f aca="false">C167+Summary!$C$8*D167</f>
        <v>0.113234</v>
      </c>
      <c r="U167" s="2" t="n">
        <f aca="false">B167*T167</f>
        <v>1.35201396</v>
      </c>
      <c r="V167" s="2" t="n">
        <f aca="false">B167*C167</f>
        <v>-2.77008</v>
      </c>
    </row>
    <row r="168" customFormat="false" ht="15" hidden="false" customHeight="false" outlineLevel="0" collapsed="false">
      <c r="A168" s="2" t="n">
        <v>208.04</v>
      </c>
      <c r="B168" s="2" t="n">
        <v>11.939</v>
      </c>
      <c r="C168" s="2" t="n">
        <v>-0.244</v>
      </c>
      <c r="D168" s="2" t="n">
        <v>4.353</v>
      </c>
      <c r="E168" s="2" t="n">
        <v>0</v>
      </c>
      <c r="F168" s="2" t="n">
        <v>76</v>
      </c>
      <c r="G168" s="2" t="n">
        <v>400</v>
      </c>
      <c r="H168" s="2" t="n">
        <v>400</v>
      </c>
      <c r="I168" s="2" t="n">
        <v>400</v>
      </c>
      <c r="J168" s="2"/>
      <c r="K168" s="2" t="n">
        <v>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1</v>
      </c>
      <c r="Q168" s="2" t="n">
        <v>1</v>
      </c>
      <c r="R168" s="2" t="n">
        <v>0</v>
      </c>
      <c r="S168" s="2" t="n">
        <f aca="false">A169-A168</f>
        <v>0.200000000000017</v>
      </c>
      <c r="T168" s="2" t="n">
        <f aca="false">C168+Summary!$C$8*D168</f>
        <v>0.1107695</v>
      </c>
      <c r="U168" s="2" t="n">
        <f aca="false">B168*T168</f>
        <v>1.3224770605</v>
      </c>
      <c r="V168" s="2" t="n">
        <f aca="false">B168*C168</f>
        <v>-2.913116</v>
      </c>
    </row>
    <row r="169" customFormat="false" ht="15" hidden="false" customHeight="false" outlineLevel="0" collapsed="false">
      <c r="A169" s="2" t="n">
        <v>208.24</v>
      </c>
      <c r="B169" s="2" t="n">
        <v>11.942</v>
      </c>
      <c r="C169" s="2" t="n">
        <v>-0.255</v>
      </c>
      <c r="D169" s="2" t="n">
        <v>4.496</v>
      </c>
      <c r="E169" s="2" t="n">
        <v>0</v>
      </c>
      <c r="F169" s="2" t="n">
        <v>76</v>
      </c>
      <c r="G169" s="2" t="n">
        <v>400</v>
      </c>
      <c r="H169" s="2" t="n">
        <v>89</v>
      </c>
      <c r="I169" s="2" t="n">
        <v>400</v>
      </c>
      <c r="J169" s="2"/>
      <c r="K169" s="2" t="n">
        <v>1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1</v>
      </c>
      <c r="Q169" s="2" t="n">
        <v>1</v>
      </c>
      <c r="R169" s="2" t="n">
        <v>0</v>
      </c>
      <c r="S169" s="2" t="n">
        <f aca="false">A170-A169</f>
        <v>0.199999999999989</v>
      </c>
      <c r="T169" s="2" t="n">
        <f aca="false">C169+Summary!$C$8*D169</f>
        <v>0.111424</v>
      </c>
      <c r="U169" s="2" t="n">
        <f aca="false">B169*T169</f>
        <v>1.330625408</v>
      </c>
      <c r="V169" s="2" t="n">
        <f aca="false">B169*C169</f>
        <v>-3.04521</v>
      </c>
    </row>
    <row r="170" customFormat="false" ht="15" hidden="false" customHeight="false" outlineLevel="0" collapsed="false">
      <c r="A170" s="2" t="n">
        <v>208.44</v>
      </c>
      <c r="B170" s="2" t="n">
        <v>11.949</v>
      </c>
      <c r="C170" s="2" t="n">
        <v>-0.265</v>
      </c>
      <c r="D170" s="2" t="n">
        <v>4.612</v>
      </c>
      <c r="E170" s="2" t="n">
        <v>0</v>
      </c>
      <c r="F170" s="2" t="n">
        <v>76</v>
      </c>
      <c r="G170" s="2" t="n">
        <v>400</v>
      </c>
      <c r="H170" s="2" t="n">
        <v>127</v>
      </c>
      <c r="I170" s="2" t="n">
        <v>400</v>
      </c>
      <c r="J170" s="2"/>
      <c r="K170" s="2" t="n">
        <v>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1</v>
      </c>
      <c r="Q170" s="2" t="n">
        <v>1</v>
      </c>
      <c r="R170" s="2" t="n">
        <v>0</v>
      </c>
      <c r="S170" s="2" t="n">
        <f aca="false">A171-A170</f>
        <v>0.199999999999989</v>
      </c>
      <c r="T170" s="2" t="n">
        <f aca="false">C170+Summary!$C$8*D170</f>
        <v>0.110878</v>
      </c>
      <c r="U170" s="2" t="n">
        <f aca="false">B170*T170</f>
        <v>1.324881222</v>
      </c>
      <c r="V170" s="2" t="n">
        <f aca="false">B170*C170</f>
        <v>-3.166485</v>
      </c>
    </row>
    <row r="171" customFormat="false" ht="15" hidden="false" customHeight="false" outlineLevel="0" collapsed="false">
      <c r="A171" s="2" t="n">
        <v>208.64</v>
      </c>
      <c r="B171" s="2" t="n">
        <v>11.945</v>
      </c>
      <c r="C171" s="2" t="n">
        <v>-0.265</v>
      </c>
      <c r="D171" s="2" t="n">
        <v>4.615</v>
      </c>
      <c r="E171" s="2" t="n">
        <v>0</v>
      </c>
      <c r="F171" s="2" t="n">
        <v>76</v>
      </c>
      <c r="G171" s="2" t="n">
        <v>400</v>
      </c>
      <c r="H171" s="2" t="n">
        <v>400</v>
      </c>
      <c r="I171" s="2" t="n">
        <v>400</v>
      </c>
      <c r="J171" s="2"/>
      <c r="K171" s="2" t="n">
        <v>1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1</v>
      </c>
      <c r="Q171" s="2" t="n">
        <v>1</v>
      </c>
      <c r="R171" s="2" t="n">
        <v>0</v>
      </c>
      <c r="S171" s="2" t="n">
        <f aca="false">A172-A171</f>
        <v>0.200000000000017</v>
      </c>
      <c r="T171" s="2" t="n">
        <f aca="false">C171+Summary!$C$8*D171</f>
        <v>0.1111225</v>
      </c>
      <c r="U171" s="2" t="n">
        <f aca="false">B171*T171</f>
        <v>1.3273582625</v>
      </c>
      <c r="V171" s="2" t="n">
        <f aca="false">B171*C171</f>
        <v>-3.165425</v>
      </c>
    </row>
    <row r="172" customFormat="false" ht="15" hidden="false" customHeight="false" outlineLevel="0" collapsed="false">
      <c r="A172" s="2" t="n">
        <v>208.84</v>
      </c>
      <c r="B172" s="2" t="n">
        <v>11.951</v>
      </c>
      <c r="C172" s="2" t="n">
        <v>-0.283</v>
      </c>
      <c r="D172" s="2" t="n">
        <v>4.834</v>
      </c>
      <c r="E172" s="2" t="n">
        <v>0</v>
      </c>
      <c r="F172" s="2" t="n">
        <v>76</v>
      </c>
      <c r="G172" s="2" t="n">
        <v>400</v>
      </c>
      <c r="H172" s="2" t="n">
        <v>400</v>
      </c>
      <c r="I172" s="2" t="n">
        <v>400</v>
      </c>
      <c r="J172" s="2"/>
      <c r="K172" s="2" t="n">
        <v>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1</v>
      </c>
      <c r="Q172" s="2" t="n">
        <v>1</v>
      </c>
      <c r="R172" s="2" t="n">
        <v>0</v>
      </c>
      <c r="S172" s="2" t="n">
        <f aca="false">A173-A172</f>
        <v>0.199999999999989</v>
      </c>
      <c r="T172" s="2" t="n">
        <f aca="false">C172+Summary!$C$8*D172</f>
        <v>0.110971</v>
      </c>
      <c r="U172" s="2" t="n">
        <f aca="false">B172*T172</f>
        <v>1.326214421</v>
      </c>
      <c r="V172" s="2" t="n">
        <f aca="false">B172*C172</f>
        <v>-3.382133</v>
      </c>
    </row>
    <row r="173" customFormat="false" ht="15" hidden="false" customHeight="false" outlineLevel="0" collapsed="false">
      <c r="A173" s="2" t="n">
        <v>209.04</v>
      </c>
      <c r="B173" s="2" t="n">
        <v>11.95</v>
      </c>
      <c r="C173" s="2" t="n">
        <v>-0.289</v>
      </c>
      <c r="D173" s="2" t="n">
        <v>4.926</v>
      </c>
      <c r="E173" s="2" t="n">
        <v>0</v>
      </c>
      <c r="F173" s="2" t="n">
        <v>76</v>
      </c>
      <c r="G173" s="2" t="n">
        <v>400</v>
      </c>
      <c r="H173" s="2" t="n">
        <v>400</v>
      </c>
      <c r="I173" s="2" t="n">
        <v>400</v>
      </c>
      <c r="J173" s="2"/>
      <c r="K173" s="2" t="n">
        <v>1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1</v>
      </c>
      <c r="Q173" s="2" t="n">
        <v>1</v>
      </c>
      <c r="R173" s="2" t="n">
        <v>0</v>
      </c>
      <c r="S173" s="2" t="n">
        <f aca="false">A174-A173</f>
        <v>0.200000000000017</v>
      </c>
      <c r="T173" s="2" t="n">
        <f aca="false">C173+Summary!$C$8*D173</f>
        <v>0.112469</v>
      </c>
      <c r="U173" s="2" t="n">
        <f aca="false">B173*T173</f>
        <v>1.34400455</v>
      </c>
      <c r="V173" s="2" t="n">
        <f aca="false">B173*C173</f>
        <v>-3.45355</v>
      </c>
    </row>
    <row r="174" customFormat="false" ht="15" hidden="false" customHeight="false" outlineLevel="0" collapsed="false">
      <c r="A174" s="2" t="n">
        <v>209.24</v>
      </c>
      <c r="B174" s="2" t="n">
        <v>11.951</v>
      </c>
      <c r="C174" s="2" t="n">
        <v>-0.285</v>
      </c>
      <c r="D174" s="2" t="n">
        <v>4.863</v>
      </c>
      <c r="E174" s="2" t="n">
        <v>0</v>
      </c>
      <c r="F174" s="2" t="n">
        <v>76</v>
      </c>
      <c r="G174" s="2" t="n">
        <v>400</v>
      </c>
      <c r="H174" s="2" t="n">
        <v>400</v>
      </c>
      <c r="I174" s="2" t="n">
        <v>400</v>
      </c>
      <c r="J174" s="2"/>
      <c r="K174" s="2" t="n">
        <v>1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1</v>
      </c>
      <c r="Q174" s="2" t="n">
        <v>1</v>
      </c>
      <c r="R174" s="2" t="n">
        <v>0</v>
      </c>
      <c r="S174" s="2" t="n">
        <f aca="false">A175-A174</f>
        <v>0.199999999999989</v>
      </c>
      <c r="T174" s="2" t="n">
        <f aca="false">C174+Summary!$C$8*D174</f>
        <v>0.1113345</v>
      </c>
      <c r="U174" s="2" t="n">
        <f aca="false">B174*T174</f>
        <v>1.3305586095</v>
      </c>
      <c r="V174" s="2" t="n">
        <f aca="false">B174*C174</f>
        <v>-3.406035</v>
      </c>
    </row>
    <row r="175" customFormat="false" ht="15" hidden="false" customHeight="false" outlineLevel="0" collapsed="false">
      <c r="A175" s="2" t="n">
        <v>209.44</v>
      </c>
      <c r="B175" s="2" t="n">
        <v>11.957</v>
      </c>
      <c r="C175" s="2" t="n">
        <v>-0.302</v>
      </c>
      <c r="D175" s="2" t="n">
        <v>5.074</v>
      </c>
      <c r="E175" s="2" t="n">
        <v>0</v>
      </c>
      <c r="F175" s="2" t="n">
        <v>76</v>
      </c>
      <c r="G175" s="2" t="n">
        <v>400</v>
      </c>
      <c r="H175" s="2" t="n">
        <v>400</v>
      </c>
      <c r="I175" s="2" t="n">
        <v>400</v>
      </c>
      <c r="J175" s="2"/>
      <c r="K175" s="2" t="n">
        <v>1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1</v>
      </c>
      <c r="Q175" s="2" t="n">
        <v>1</v>
      </c>
      <c r="R175" s="2" t="n">
        <v>0</v>
      </c>
      <c r="S175" s="2" t="n">
        <f aca="false">A176-A175</f>
        <v>0.199999999999989</v>
      </c>
      <c r="T175" s="2" t="n">
        <f aca="false">C175+Summary!$C$8*D175</f>
        <v>0.111531</v>
      </c>
      <c r="U175" s="2" t="n">
        <f aca="false">B175*T175</f>
        <v>1.333576167</v>
      </c>
      <c r="V175" s="2" t="n">
        <f aca="false">B175*C175</f>
        <v>-3.611014</v>
      </c>
    </row>
    <row r="176" customFormat="false" ht="15" hidden="false" customHeight="false" outlineLevel="0" collapsed="false">
      <c r="A176" s="2" t="n">
        <v>209.64</v>
      </c>
      <c r="B176" s="2" t="n">
        <v>11.964</v>
      </c>
      <c r="C176" s="2" t="n">
        <v>-0.309</v>
      </c>
      <c r="D176" s="2" t="n">
        <v>5.177</v>
      </c>
      <c r="E176" s="2" t="n">
        <v>0</v>
      </c>
      <c r="F176" s="2" t="n">
        <v>76</v>
      </c>
      <c r="G176" s="2" t="n">
        <v>400</v>
      </c>
      <c r="H176" s="2" t="n">
        <v>400</v>
      </c>
      <c r="I176" s="2" t="n">
        <v>400</v>
      </c>
      <c r="J176" s="2"/>
      <c r="K176" s="2" t="n">
        <v>1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1</v>
      </c>
      <c r="Q176" s="2" t="n">
        <v>1</v>
      </c>
      <c r="R176" s="2" t="n">
        <v>0</v>
      </c>
      <c r="S176" s="2" t="n">
        <f aca="false">A177-A176</f>
        <v>0.200000000000017</v>
      </c>
      <c r="T176" s="2" t="n">
        <f aca="false">C176+Summary!$C$8*D176</f>
        <v>0.1129255</v>
      </c>
      <c r="U176" s="2" t="n">
        <f aca="false">B176*T176</f>
        <v>1.351040682</v>
      </c>
      <c r="V176" s="2" t="n">
        <f aca="false">B176*C176</f>
        <v>-3.696876</v>
      </c>
    </row>
    <row r="177" customFormat="false" ht="15" hidden="false" customHeight="false" outlineLevel="0" collapsed="false">
      <c r="A177" s="2" t="n">
        <v>209.84</v>
      </c>
      <c r="B177" s="2" t="n">
        <v>11.964</v>
      </c>
      <c r="C177" s="2" t="n">
        <v>-0.31</v>
      </c>
      <c r="D177" s="2" t="n">
        <v>5.181</v>
      </c>
      <c r="E177" s="2" t="n">
        <v>0</v>
      </c>
      <c r="F177" s="2" t="n">
        <v>76</v>
      </c>
      <c r="G177" s="2" t="n">
        <v>400</v>
      </c>
      <c r="H177" s="2" t="n">
        <v>400</v>
      </c>
      <c r="I177" s="2" t="n">
        <v>400</v>
      </c>
      <c r="J177" s="2"/>
      <c r="K177" s="2" t="n">
        <v>1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1</v>
      </c>
      <c r="Q177" s="2" t="n">
        <v>1</v>
      </c>
      <c r="R177" s="2" t="n">
        <v>0</v>
      </c>
      <c r="S177" s="2" t="n">
        <f aca="false">A178-A177</f>
        <v>0.199999999999989</v>
      </c>
      <c r="T177" s="2" t="n">
        <f aca="false">C177+Summary!$C$8*D177</f>
        <v>0.1122515</v>
      </c>
      <c r="U177" s="2" t="n">
        <f aca="false">B177*T177</f>
        <v>1.342976946</v>
      </c>
      <c r="V177" s="2" t="n">
        <f aca="false">B177*C177</f>
        <v>-3.70884</v>
      </c>
    </row>
    <row r="178" customFormat="false" ht="15" hidden="false" customHeight="false" outlineLevel="0" collapsed="false">
      <c r="A178" s="2" t="n">
        <v>210.04</v>
      </c>
      <c r="B178" s="2" t="n">
        <v>11.961</v>
      </c>
      <c r="C178" s="2" t="n">
        <v>-0.309</v>
      </c>
      <c r="D178" s="2" t="n">
        <v>5.163</v>
      </c>
      <c r="E178" s="2" t="n">
        <v>0</v>
      </c>
      <c r="F178" s="2" t="n">
        <v>76</v>
      </c>
      <c r="G178" s="2" t="n">
        <v>400</v>
      </c>
      <c r="H178" s="2" t="n">
        <v>400</v>
      </c>
      <c r="I178" s="2" t="n">
        <v>400</v>
      </c>
      <c r="J178" s="2"/>
      <c r="K178" s="2" t="n">
        <v>1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1</v>
      </c>
      <c r="Q178" s="2" t="n">
        <v>1</v>
      </c>
      <c r="R178" s="2" t="n">
        <v>0</v>
      </c>
      <c r="S178" s="2" t="n">
        <f aca="false">A179-A178</f>
        <v>0.200000000000017</v>
      </c>
      <c r="T178" s="2" t="n">
        <f aca="false">C178+Summary!$C$8*D178</f>
        <v>0.1117845</v>
      </c>
      <c r="U178" s="2" t="n">
        <f aca="false">B178*T178</f>
        <v>1.3370544045</v>
      </c>
      <c r="V178" s="2" t="n">
        <f aca="false">B178*C178</f>
        <v>-3.695949</v>
      </c>
    </row>
    <row r="179" customFormat="false" ht="15" hidden="false" customHeight="false" outlineLevel="0" collapsed="false">
      <c r="A179" s="2" t="n">
        <v>210.24</v>
      </c>
      <c r="B179" s="2" t="n">
        <v>11.961</v>
      </c>
      <c r="C179" s="2" t="n">
        <v>-0.304</v>
      </c>
      <c r="D179" s="2" t="n">
        <v>5.104</v>
      </c>
      <c r="E179" s="2" t="n">
        <v>0</v>
      </c>
      <c r="F179" s="2" t="n">
        <v>76</v>
      </c>
      <c r="G179" s="2" t="n">
        <v>400</v>
      </c>
      <c r="H179" s="2" t="n">
        <v>400</v>
      </c>
      <c r="I179" s="2" t="n">
        <v>400</v>
      </c>
      <c r="J179" s="2"/>
      <c r="K179" s="2" t="n">
        <v>1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1</v>
      </c>
      <c r="Q179" s="2" t="n">
        <v>1</v>
      </c>
      <c r="R179" s="2" t="n">
        <v>0</v>
      </c>
      <c r="S179" s="2" t="n">
        <f aca="false">A180-A179</f>
        <v>0.199999999999989</v>
      </c>
      <c r="T179" s="2" t="n">
        <f aca="false">C179+Summary!$C$8*D179</f>
        <v>0.111976</v>
      </c>
      <c r="U179" s="2" t="n">
        <f aca="false">B179*T179</f>
        <v>1.339344936</v>
      </c>
      <c r="V179" s="2" t="n">
        <f aca="false">B179*C179</f>
        <v>-3.636144</v>
      </c>
    </row>
    <row r="180" customFormat="false" ht="15" hidden="false" customHeight="false" outlineLevel="0" collapsed="false">
      <c r="A180" s="2" t="n">
        <v>210.44</v>
      </c>
      <c r="B180" s="2" t="n">
        <v>11.954</v>
      </c>
      <c r="C180" s="2" t="n">
        <v>-0.293</v>
      </c>
      <c r="D180" s="2" t="n">
        <v>4.955</v>
      </c>
      <c r="E180" s="2" t="n">
        <v>0</v>
      </c>
      <c r="F180" s="2" t="n">
        <v>76</v>
      </c>
      <c r="G180" s="2" t="n">
        <v>400</v>
      </c>
      <c r="H180" s="2" t="n">
        <v>400</v>
      </c>
      <c r="I180" s="2" t="n">
        <v>400</v>
      </c>
      <c r="J180" s="2"/>
      <c r="K180" s="2" t="n">
        <v>1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1</v>
      </c>
      <c r="Q180" s="2" t="n">
        <v>1</v>
      </c>
      <c r="R180" s="2" t="n">
        <v>0</v>
      </c>
      <c r="S180" s="2" t="n">
        <f aca="false">A181-A180</f>
        <v>0.199999999999989</v>
      </c>
      <c r="T180" s="2" t="n">
        <f aca="false">C180+Summary!$C$8*D180</f>
        <v>0.1108325</v>
      </c>
      <c r="U180" s="2" t="n">
        <f aca="false">B180*T180</f>
        <v>1.324891705</v>
      </c>
      <c r="V180" s="2" t="n">
        <f aca="false">B180*C180</f>
        <v>-3.502522</v>
      </c>
    </row>
    <row r="181" customFormat="false" ht="15" hidden="false" customHeight="false" outlineLevel="0" collapsed="false">
      <c r="A181" s="2" t="n">
        <v>210.64</v>
      </c>
      <c r="B181" s="2" t="n">
        <v>11.961</v>
      </c>
      <c r="C181" s="2" t="n">
        <v>-0.306</v>
      </c>
      <c r="D181" s="2" t="n">
        <v>5.111</v>
      </c>
      <c r="E181" s="2" t="n">
        <v>0</v>
      </c>
      <c r="F181" s="2" t="n">
        <v>76</v>
      </c>
      <c r="G181" s="2" t="n">
        <v>400</v>
      </c>
      <c r="H181" s="2" t="n">
        <v>400</v>
      </c>
      <c r="I181" s="2" t="n">
        <v>400</v>
      </c>
      <c r="J181" s="2"/>
      <c r="K181" s="2" t="n">
        <v>1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1</v>
      </c>
      <c r="Q181" s="2" t="n">
        <v>1</v>
      </c>
      <c r="R181" s="2" t="n">
        <v>0</v>
      </c>
      <c r="S181" s="2" t="n">
        <f aca="false">A182-A181</f>
        <v>0.200000000000017</v>
      </c>
      <c r="T181" s="2" t="n">
        <f aca="false">C181+Summary!$C$8*D181</f>
        <v>0.1105465</v>
      </c>
      <c r="U181" s="2" t="n">
        <f aca="false">B181*T181</f>
        <v>1.3222466865</v>
      </c>
      <c r="V181" s="2" t="n">
        <f aca="false">B181*C181</f>
        <v>-3.660066</v>
      </c>
    </row>
    <row r="182" customFormat="false" ht="15" hidden="false" customHeight="false" outlineLevel="0" collapsed="false">
      <c r="A182" s="2" t="n">
        <v>210.84</v>
      </c>
      <c r="B182" s="2" t="n">
        <v>11.95</v>
      </c>
      <c r="C182" s="2" t="n">
        <v>-0.312</v>
      </c>
      <c r="D182" s="2" t="n">
        <v>5.195</v>
      </c>
      <c r="E182" s="2" t="n">
        <v>0</v>
      </c>
      <c r="F182" s="2" t="n">
        <v>76</v>
      </c>
      <c r="G182" s="2" t="n">
        <v>400</v>
      </c>
      <c r="H182" s="2" t="n">
        <v>400</v>
      </c>
      <c r="I182" s="2" t="n">
        <v>400</v>
      </c>
      <c r="J182" s="2"/>
      <c r="K182" s="2" t="n">
        <v>1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1</v>
      </c>
      <c r="Q182" s="2" t="n">
        <v>1</v>
      </c>
      <c r="R182" s="2" t="n">
        <v>0</v>
      </c>
      <c r="S182" s="2" t="n">
        <f aca="false">A183-A182</f>
        <v>0.199999999999989</v>
      </c>
      <c r="T182" s="2" t="n">
        <f aca="false">C182+Summary!$C$8*D182</f>
        <v>0.1113925</v>
      </c>
      <c r="U182" s="2" t="n">
        <f aca="false">B182*T182</f>
        <v>1.331140375</v>
      </c>
      <c r="V182" s="2" t="n">
        <f aca="false">B182*C182</f>
        <v>-3.7284</v>
      </c>
    </row>
    <row r="183" customFormat="false" ht="15" hidden="false" customHeight="false" outlineLevel="0" collapsed="false">
      <c r="A183" s="2" t="n">
        <v>211.04</v>
      </c>
      <c r="B183" s="2" t="n">
        <v>11.967</v>
      </c>
      <c r="C183" s="2" t="n">
        <v>-0.323</v>
      </c>
      <c r="D183" s="2" t="n">
        <v>5.356</v>
      </c>
      <c r="E183" s="2" t="n">
        <v>0</v>
      </c>
      <c r="F183" s="2" t="n">
        <v>76</v>
      </c>
      <c r="G183" s="2" t="n">
        <v>400</v>
      </c>
      <c r="H183" s="2" t="n">
        <v>400</v>
      </c>
      <c r="I183" s="2" t="n">
        <v>400</v>
      </c>
      <c r="J183" s="2"/>
      <c r="K183" s="2" t="n">
        <v>1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1</v>
      </c>
      <c r="Q183" s="2" t="n">
        <v>1</v>
      </c>
      <c r="R183" s="2" t="n">
        <v>0</v>
      </c>
      <c r="S183" s="2" t="n">
        <f aca="false">A184-A183</f>
        <v>0.200000000000017</v>
      </c>
      <c r="T183" s="2" t="n">
        <f aca="false">C183+Summary!$C$8*D183</f>
        <v>0.113514</v>
      </c>
      <c r="U183" s="2" t="n">
        <f aca="false">B183*T183</f>
        <v>1.358422038</v>
      </c>
      <c r="V183" s="2" t="n">
        <f aca="false">B183*C183</f>
        <v>-3.865341</v>
      </c>
    </row>
    <row r="184" customFormat="false" ht="15" hidden="false" customHeight="false" outlineLevel="0" collapsed="false">
      <c r="A184" s="2" t="n">
        <v>211.24</v>
      </c>
      <c r="B184" s="2" t="n">
        <v>11.971</v>
      </c>
      <c r="C184" s="2" t="n">
        <v>-0.329</v>
      </c>
      <c r="D184" s="2" t="n">
        <v>5.409</v>
      </c>
      <c r="E184" s="2" t="n">
        <v>0</v>
      </c>
      <c r="F184" s="2" t="n">
        <v>76</v>
      </c>
      <c r="G184" s="2" t="n">
        <v>400</v>
      </c>
      <c r="H184" s="2" t="n">
        <v>400</v>
      </c>
      <c r="I184" s="2" t="n">
        <v>400</v>
      </c>
      <c r="J184" s="2"/>
      <c r="K184" s="2" t="n">
        <v>1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1</v>
      </c>
      <c r="Q184" s="2" t="n">
        <v>1</v>
      </c>
      <c r="R184" s="2" t="n">
        <v>0</v>
      </c>
      <c r="S184" s="2" t="n">
        <f aca="false">A185-A184</f>
        <v>0.199999999999989</v>
      </c>
      <c r="T184" s="2" t="n">
        <f aca="false">C184+Summary!$C$8*D184</f>
        <v>0.1118335</v>
      </c>
      <c r="U184" s="2" t="n">
        <f aca="false">B184*T184</f>
        <v>1.3387588285</v>
      </c>
      <c r="V184" s="2" t="n">
        <f aca="false">B184*C184</f>
        <v>-3.938459</v>
      </c>
    </row>
    <row r="185" customFormat="false" ht="15" hidden="false" customHeight="false" outlineLevel="0" collapsed="false">
      <c r="A185" s="2" t="n">
        <v>211.44</v>
      </c>
      <c r="B185" s="2" t="n">
        <v>11.97</v>
      </c>
      <c r="C185" s="2" t="n">
        <v>-0.336</v>
      </c>
      <c r="D185" s="2" t="n">
        <v>5.489</v>
      </c>
      <c r="E185" s="2" t="n">
        <v>0</v>
      </c>
      <c r="F185" s="2" t="n">
        <v>76</v>
      </c>
      <c r="G185" s="2" t="n">
        <v>400</v>
      </c>
      <c r="H185" s="2" t="n">
        <v>137</v>
      </c>
      <c r="I185" s="2" t="n">
        <v>400</v>
      </c>
      <c r="J185" s="2"/>
      <c r="K185" s="2" t="n">
        <v>1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1</v>
      </c>
      <c r="Q185" s="2" t="n">
        <v>1</v>
      </c>
      <c r="R185" s="2" t="n">
        <v>0</v>
      </c>
      <c r="S185" s="2" t="n">
        <f aca="false">A186-A185</f>
        <v>0.199999999999989</v>
      </c>
      <c r="T185" s="2" t="n">
        <f aca="false">C185+Summary!$C$8*D185</f>
        <v>0.1113535</v>
      </c>
      <c r="U185" s="2" t="n">
        <f aca="false">B185*T185</f>
        <v>1.332901395</v>
      </c>
      <c r="V185" s="2" t="n">
        <f aca="false">B185*C185</f>
        <v>-4.02192</v>
      </c>
    </row>
    <row r="186" customFormat="false" ht="15" hidden="false" customHeight="false" outlineLevel="0" collapsed="false">
      <c r="A186" s="2" t="n">
        <v>211.64</v>
      </c>
      <c r="B186" s="2" t="n">
        <v>11.974</v>
      </c>
      <c r="C186" s="2" t="n">
        <v>-0.337</v>
      </c>
      <c r="D186" s="2" t="n">
        <v>5.522</v>
      </c>
      <c r="E186" s="2" t="n">
        <v>0</v>
      </c>
      <c r="F186" s="2" t="n">
        <v>76</v>
      </c>
      <c r="G186" s="2" t="n">
        <v>400</v>
      </c>
      <c r="H186" s="2" t="n">
        <v>148</v>
      </c>
      <c r="I186" s="2" t="n">
        <v>80</v>
      </c>
      <c r="J186" s="2"/>
      <c r="K186" s="2" t="n">
        <v>1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1</v>
      </c>
      <c r="Q186" s="2" t="n">
        <v>1</v>
      </c>
      <c r="R186" s="2" t="n">
        <v>0</v>
      </c>
      <c r="S186" s="2" t="n">
        <f aca="false">A187-A186</f>
        <v>0.200000000000017</v>
      </c>
      <c r="T186" s="2" t="n">
        <f aca="false">C186+Summary!$C$8*D186</f>
        <v>0.113043</v>
      </c>
      <c r="U186" s="2" t="n">
        <f aca="false">B186*T186</f>
        <v>1.353576882</v>
      </c>
      <c r="V186" s="2" t="n">
        <f aca="false">B186*C186</f>
        <v>-4.035238</v>
      </c>
    </row>
    <row r="187" customFormat="false" ht="15" hidden="false" customHeight="false" outlineLevel="0" collapsed="false">
      <c r="A187" s="2" t="n">
        <v>211.84</v>
      </c>
      <c r="B187" s="2" t="n">
        <v>11.97</v>
      </c>
      <c r="C187" s="2" t="n">
        <v>-0.335</v>
      </c>
      <c r="D187" s="2" t="n">
        <v>5.49</v>
      </c>
      <c r="E187" s="2" t="n">
        <v>0</v>
      </c>
      <c r="F187" s="2" t="n">
        <v>76</v>
      </c>
      <c r="G187" s="2" t="n">
        <v>400</v>
      </c>
      <c r="H187" s="2" t="n">
        <v>72</v>
      </c>
      <c r="I187" s="2" t="n">
        <v>400</v>
      </c>
      <c r="J187" s="2"/>
      <c r="K187" s="2" t="n">
        <v>1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1</v>
      </c>
      <c r="Q187" s="2" t="n">
        <v>1</v>
      </c>
      <c r="R187" s="2" t="n">
        <v>0</v>
      </c>
      <c r="S187" s="2" t="n">
        <f aca="false">A188-A187</f>
        <v>0.199999999999989</v>
      </c>
      <c r="T187" s="2" t="n">
        <f aca="false">C187+Summary!$C$8*D187</f>
        <v>0.112435</v>
      </c>
      <c r="U187" s="2" t="n">
        <f aca="false">B187*T187</f>
        <v>1.34584695</v>
      </c>
      <c r="V187" s="2" t="n">
        <f aca="false">B187*C187</f>
        <v>-4.00995</v>
      </c>
    </row>
    <row r="188" customFormat="false" ht="15" hidden="false" customHeight="false" outlineLevel="0" collapsed="false">
      <c r="A188" s="2" t="n">
        <v>212.04</v>
      </c>
      <c r="B188" s="2" t="n">
        <v>11.97</v>
      </c>
      <c r="C188" s="2" t="n">
        <v>-0.339</v>
      </c>
      <c r="D188" s="2" t="n">
        <v>5.529</v>
      </c>
      <c r="E188" s="2" t="n">
        <v>0</v>
      </c>
      <c r="F188" s="2" t="n">
        <v>76</v>
      </c>
      <c r="G188" s="2" t="n">
        <v>18</v>
      </c>
      <c r="H188" s="2" t="n">
        <v>14</v>
      </c>
      <c r="I188" s="2" t="n">
        <v>400</v>
      </c>
      <c r="J188" s="2"/>
      <c r="K188" s="2" t="n">
        <v>1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1</v>
      </c>
      <c r="Q188" s="2" t="n">
        <v>1</v>
      </c>
      <c r="R188" s="2" t="n">
        <v>0</v>
      </c>
      <c r="S188" s="2" t="n">
        <f aca="false">A189-A188</f>
        <v>0.200000000000017</v>
      </c>
      <c r="T188" s="2" t="n">
        <f aca="false">C188+Summary!$C$8*D188</f>
        <v>0.1116135</v>
      </c>
      <c r="U188" s="2" t="n">
        <f aca="false">B188*T188</f>
        <v>1.336013595</v>
      </c>
      <c r="V188" s="2" t="n">
        <f aca="false">B188*C188</f>
        <v>-4.05783</v>
      </c>
    </row>
    <row r="189" customFormat="false" ht="15" hidden="false" customHeight="false" outlineLevel="0" collapsed="false">
      <c r="A189" s="2" t="n">
        <v>212.24</v>
      </c>
      <c r="B189" s="2" t="n">
        <v>11.97</v>
      </c>
      <c r="C189" s="2" t="n">
        <v>-0.335</v>
      </c>
      <c r="D189" s="2" t="n">
        <v>5.51</v>
      </c>
      <c r="E189" s="2" t="n">
        <v>0</v>
      </c>
      <c r="F189" s="2" t="n">
        <v>76</v>
      </c>
      <c r="G189" s="2" t="n">
        <v>15</v>
      </c>
      <c r="H189" s="2" t="n">
        <v>50</v>
      </c>
      <c r="I189" s="2" t="n">
        <v>400</v>
      </c>
      <c r="J189" s="2"/>
      <c r="K189" s="2" t="n">
        <v>1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1</v>
      </c>
      <c r="Q189" s="2" t="n">
        <v>1</v>
      </c>
      <c r="R189" s="2" t="n">
        <v>0</v>
      </c>
      <c r="S189" s="2" t="n">
        <f aca="false">A190-A189</f>
        <v>0.199999999999989</v>
      </c>
      <c r="T189" s="2" t="n">
        <f aca="false">C189+Summary!$C$8*D189</f>
        <v>0.114065</v>
      </c>
      <c r="U189" s="2" t="n">
        <f aca="false">B189*T189</f>
        <v>1.36535805</v>
      </c>
      <c r="V189" s="2" t="n">
        <f aca="false">B189*C189</f>
        <v>-4.00995</v>
      </c>
    </row>
    <row r="190" customFormat="false" ht="15" hidden="false" customHeight="false" outlineLevel="0" collapsed="false">
      <c r="A190" s="2" t="n">
        <v>212.44</v>
      </c>
      <c r="B190" s="2" t="n">
        <v>11.957</v>
      </c>
      <c r="C190" s="2" t="n">
        <v>-0.301</v>
      </c>
      <c r="D190" s="2" t="n">
        <v>5.079</v>
      </c>
      <c r="E190" s="2" t="n">
        <v>0</v>
      </c>
      <c r="F190" s="2" t="n">
        <v>76</v>
      </c>
      <c r="G190" s="2" t="n">
        <v>400</v>
      </c>
      <c r="H190" s="2" t="n">
        <v>53</v>
      </c>
      <c r="I190" s="2" t="n">
        <v>35</v>
      </c>
      <c r="J190" s="2"/>
      <c r="K190" s="2" t="n">
        <v>1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</v>
      </c>
      <c r="Q190" s="2" t="n">
        <v>1</v>
      </c>
      <c r="R190" s="2" t="n">
        <v>0</v>
      </c>
      <c r="S190" s="2" t="n">
        <f aca="false">A191-A190</f>
        <v>0.199999999999989</v>
      </c>
      <c r="T190" s="2" t="n">
        <f aca="false">C190+Summary!$C$8*D190</f>
        <v>0.1129385</v>
      </c>
      <c r="U190" s="2" t="n">
        <f aca="false">B190*T190</f>
        <v>1.3504056445</v>
      </c>
      <c r="V190" s="2" t="n">
        <f aca="false">B190*C190</f>
        <v>-3.599057</v>
      </c>
    </row>
    <row r="191" customFormat="false" ht="15" hidden="false" customHeight="false" outlineLevel="0" collapsed="false">
      <c r="A191" s="2" t="n">
        <v>212.64</v>
      </c>
      <c r="B191" s="2" t="n">
        <v>11.964</v>
      </c>
      <c r="C191" s="2" t="n">
        <v>-0.315</v>
      </c>
      <c r="D191" s="2" t="n">
        <v>5.231</v>
      </c>
      <c r="E191" s="2" t="n">
        <v>0</v>
      </c>
      <c r="F191" s="2" t="n">
        <v>77</v>
      </c>
      <c r="G191" s="2" t="n">
        <v>400</v>
      </c>
      <c r="H191" s="2" t="n">
        <v>18</v>
      </c>
      <c r="I191" s="2" t="n">
        <v>35</v>
      </c>
      <c r="J191" s="2"/>
      <c r="K191" s="2" t="n">
        <v>1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1</v>
      </c>
      <c r="Q191" s="2" t="n">
        <v>1</v>
      </c>
      <c r="R191" s="2" t="n">
        <v>0</v>
      </c>
      <c r="S191" s="2" t="n">
        <f aca="false">A192-A191</f>
        <v>0.200000000000017</v>
      </c>
      <c r="T191" s="2" t="n">
        <f aca="false">C191+Summary!$C$8*D191</f>
        <v>0.1113265</v>
      </c>
      <c r="U191" s="2" t="n">
        <f aca="false">B191*T191</f>
        <v>1.331910246</v>
      </c>
      <c r="V191" s="2" t="n">
        <f aca="false">B191*C191</f>
        <v>-3.76866</v>
      </c>
    </row>
    <row r="192" customFormat="false" ht="15" hidden="false" customHeight="false" outlineLevel="0" collapsed="false">
      <c r="A192" s="2" t="n">
        <v>212.84</v>
      </c>
      <c r="B192" s="2" t="n">
        <v>11.96</v>
      </c>
      <c r="C192" s="2" t="n">
        <v>-0.313</v>
      </c>
      <c r="D192" s="2" t="n">
        <v>5.224</v>
      </c>
      <c r="E192" s="2" t="n">
        <v>0</v>
      </c>
      <c r="F192" s="2" t="n">
        <v>77</v>
      </c>
      <c r="G192" s="2" t="n">
        <v>400</v>
      </c>
      <c r="H192" s="2" t="n">
        <v>24</v>
      </c>
      <c r="I192" s="2" t="n">
        <v>37</v>
      </c>
      <c r="J192" s="2"/>
      <c r="K192" s="2" t="n">
        <v>1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1</v>
      </c>
      <c r="Q192" s="2" t="n">
        <v>1</v>
      </c>
      <c r="R192" s="2" t="n">
        <v>0</v>
      </c>
      <c r="S192" s="2" t="n">
        <f aca="false">A193-A192</f>
        <v>0.199999999999989</v>
      </c>
      <c r="T192" s="2" t="n">
        <f aca="false">C192+Summary!$C$8*D192</f>
        <v>0.112756</v>
      </c>
      <c r="U192" s="2" t="n">
        <f aca="false">B192*T192</f>
        <v>1.34856176</v>
      </c>
      <c r="V192" s="2" t="n">
        <f aca="false">B192*C192</f>
        <v>-3.74348</v>
      </c>
    </row>
    <row r="193" customFormat="false" ht="15" hidden="false" customHeight="false" outlineLevel="0" collapsed="false">
      <c r="A193" s="2" t="n">
        <v>213.04</v>
      </c>
      <c r="B193" s="2" t="n">
        <v>11.968</v>
      </c>
      <c r="C193" s="2" t="n">
        <v>-0.313</v>
      </c>
      <c r="D193" s="2" t="n">
        <v>5.207</v>
      </c>
      <c r="E193" s="2" t="n">
        <v>0</v>
      </c>
      <c r="F193" s="2" t="n">
        <v>77</v>
      </c>
      <c r="G193" s="2" t="n">
        <v>400</v>
      </c>
      <c r="H193" s="2" t="n">
        <v>27</v>
      </c>
      <c r="I193" s="2" t="n">
        <v>36</v>
      </c>
      <c r="J193" s="2"/>
      <c r="K193" s="2" t="n">
        <v>1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1</v>
      </c>
      <c r="Q193" s="2" t="n">
        <v>1</v>
      </c>
      <c r="R193" s="2" t="n">
        <v>0</v>
      </c>
      <c r="S193" s="2" t="n">
        <f aca="false">A194-A193</f>
        <v>0.200000000000017</v>
      </c>
      <c r="T193" s="2" t="n">
        <f aca="false">C193+Summary!$C$8*D193</f>
        <v>0.1113705</v>
      </c>
      <c r="U193" s="2" t="n">
        <f aca="false">B193*T193</f>
        <v>1.332882144</v>
      </c>
      <c r="V193" s="2" t="n">
        <f aca="false">B193*C193</f>
        <v>-3.745984</v>
      </c>
    </row>
    <row r="194" customFormat="false" ht="15" hidden="false" customHeight="false" outlineLevel="0" collapsed="false">
      <c r="A194" s="2" t="n">
        <v>213.24</v>
      </c>
      <c r="B194" s="2" t="n">
        <v>11.964</v>
      </c>
      <c r="C194" s="2" t="n">
        <v>-0.31</v>
      </c>
      <c r="D194" s="2" t="n">
        <v>5.168</v>
      </c>
      <c r="E194" s="2" t="n">
        <v>0</v>
      </c>
      <c r="F194" s="2" t="n">
        <v>77</v>
      </c>
      <c r="G194" s="2" t="n">
        <v>400</v>
      </c>
      <c r="H194" s="2" t="n">
        <v>52</v>
      </c>
      <c r="I194" s="2" t="n">
        <v>37</v>
      </c>
      <c r="J194" s="2"/>
      <c r="K194" s="2" t="n">
        <v>1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1</v>
      </c>
      <c r="Q194" s="2" t="n">
        <v>1</v>
      </c>
      <c r="R194" s="2" t="n">
        <v>0</v>
      </c>
      <c r="S194" s="2" t="n">
        <f aca="false">A195-A194</f>
        <v>0.199999999999989</v>
      </c>
      <c r="T194" s="2" t="n">
        <f aca="false">C194+Summary!$C$8*D194</f>
        <v>0.111192</v>
      </c>
      <c r="U194" s="2" t="n">
        <f aca="false">B194*T194</f>
        <v>1.330301088</v>
      </c>
      <c r="V194" s="2" t="n">
        <f aca="false">B194*C194</f>
        <v>-3.70884</v>
      </c>
    </row>
    <row r="195" customFormat="false" ht="15" hidden="false" customHeight="false" outlineLevel="0" collapsed="false">
      <c r="A195" s="2" t="n">
        <v>213.44</v>
      </c>
      <c r="B195" s="2" t="n">
        <v>11.961</v>
      </c>
      <c r="C195" s="2" t="n">
        <v>-0.307</v>
      </c>
      <c r="D195" s="2" t="n">
        <v>5.132</v>
      </c>
      <c r="E195" s="2" t="n">
        <v>0</v>
      </c>
      <c r="F195" s="2" t="n">
        <v>77</v>
      </c>
      <c r="G195" s="2" t="n">
        <v>400</v>
      </c>
      <c r="H195" s="2" t="n">
        <v>27</v>
      </c>
      <c r="I195" s="2" t="n">
        <v>35</v>
      </c>
      <c r="J195" s="2"/>
      <c r="K195" s="2" t="n">
        <v>1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1</v>
      </c>
      <c r="Q195" s="2" t="n">
        <v>1</v>
      </c>
      <c r="R195" s="2" t="n">
        <v>0</v>
      </c>
      <c r="S195" s="2" t="n">
        <f aca="false">A196-A195</f>
        <v>0.199999999999989</v>
      </c>
      <c r="T195" s="2" t="n">
        <f aca="false">C195+Summary!$C$8*D195</f>
        <v>0.111258</v>
      </c>
      <c r="U195" s="2" t="n">
        <f aca="false">B195*T195</f>
        <v>1.330756938</v>
      </c>
      <c r="V195" s="2" t="n">
        <f aca="false">B195*C195</f>
        <v>-3.672027</v>
      </c>
    </row>
    <row r="196" customFormat="false" ht="15" hidden="false" customHeight="false" outlineLevel="0" collapsed="false">
      <c r="A196" s="2" t="n">
        <v>213.64</v>
      </c>
      <c r="B196" s="2" t="n">
        <v>11.961</v>
      </c>
      <c r="C196" s="2" t="n">
        <v>-0.305</v>
      </c>
      <c r="D196" s="2" t="n">
        <v>5.071</v>
      </c>
      <c r="E196" s="2" t="n">
        <v>0</v>
      </c>
      <c r="F196" s="2" t="n">
        <v>77</v>
      </c>
      <c r="G196" s="2" t="n">
        <v>400</v>
      </c>
      <c r="H196" s="2" t="n">
        <v>53</v>
      </c>
      <c r="I196" s="2" t="n">
        <v>35</v>
      </c>
      <c r="J196" s="2"/>
      <c r="K196" s="2" t="n">
        <v>1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1</v>
      </c>
      <c r="Q196" s="2" t="n">
        <v>1</v>
      </c>
      <c r="R196" s="2" t="n">
        <v>0</v>
      </c>
      <c r="S196" s="2" t="n">
        <f aca="false">A197-A196</f>
        <v>0.200000000000017</v>
      </c>
      <c r="T196" s="2" t="n">
        <f aca="false">C196+Summary!$C$8*D196</f>
        <v>0.1082865</v>
      </c>
      <c r="U196" s="2" t="n">
        <f aca="false">B196*T196</f>
        <v>1.2952148265</v>
      </c>
      <c r="V196" s="2" t="n">
        <f aca="false">B196*C196</f>
        <v>-3.648105</v>
      </c>
    </row>
    <row r="197" customFormat="false" ht="15" hidden="false" customHeight="false" outlineLevel="0" collapsed="false">
      <c r="A197" s="2" t="n">
        <v>213.84</v>
      </c>
      <c r="B197" s="2" t="n">
        <v>11.836</v>
      </c>
      <c r="C197" s="2" t="n">
        <v>0.08</v>
      </c>
      <c r="D197" s="2" t="n">
        <v>0.375</v>
      </c>
      <c r="E197" s="2" t="n">
        <v>0</v>
      </c>
      <c r="F197" s="2" t="n">
        <v>77</v>
      </c>
      <c r="G197" s="2" t="n">
        <v>400</v>
      </c>
      <c r="H197" s="2" t="n">
        <v>29</v>
      </c>
      <c r="I197" s="2" t="n">
        <v>37</v>
      </c>
      <c r="J197" s="2"/>
      <c r="K197" s="2" t="n">
        <v>1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1</v>
      </c>
      <c r="Q197" s="2" t="n">
        <v>1</v>
      </c>
      <c r="R197" s="2" t="n">
        <v>0</v>
      </c>
      <c r="S197" s="2" t="n">
        <f aca="false">A198-A197</f>
        <v>0.199999999999989</v>
      </c>
      <c r="T197" s="2" t="n">
        <f aca="false">C197+Summary!$C$8*D197</f>
        <v>0.1105625</v>
      </c>
      <c r="U197" s="2" t="n">
        <f aca="false">B197*T197</f>
        <v>1.30861775</v>
      </c>
      <c r="V197" s="2" t="n">
        <f aca="false">B197*C197</f>
        <v>0.94688</v>
      </c>
    </row>
    <row r="198" customFormat="false" ht="15" hidden="false" customHeight="false" outlineLevel="0" collapsed="false">
      <c r="A198" s="2" t="n">
        <v>214.04</v>
      </c>
      <c r="B198" s="2" t="n">
        <v>11.964</v>
      </c>
      <c r="C198" s="2" t="n">
        <v>-0.312</v>
      </c>
      <c r="D198" s="2" t="n">
        <v>5.193</v>
      </c>
      <c r="E198" s="2" t="n">
        <v>0</v>
      </c>
      <c r="F198" s="2" t="n">
        <v>77</v>
      </c>
      <c r="G198" s="2" t="n">
        <v>400</v>
      </c>
      <c r="H198" s="2" t="n">
        <v>52</v>
      </c>
      <c r="I198" s="2" t="n">
        <v>101</v>
      </c>
      <c r="J198" s="2"/>
      <c r="K198" s="2" t="n">
        <v>1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1</v>
      </c>
      <c r="Q198" s="2" t="n">
        <v>1</v>
      </c>
      <c r="R198" s="2" t="n">
        <v>0</v>
      </c>
      <c r="S198" s="2" t="n">
        <f aca="false">A199-A198</f>
        <v>0.200000000000017</v>
      </c>
      <c r="T198" s="2" t="n">
        <f aca="false">C198+Summary!$C$8*D198</f>
        <v>0.1112295</v>
      </c>
      <c r="U198" s="2" t="n">
        <f aca="false">B198*T198</f>
        <v>1.330749738</v>
      </c>
      <c r="V198" s="2" t="n">
        <f aca="false">B198*C198</f>
        <v>-3.732768</v>
      </c>
    </row>
    <row r="199" customFormat="false" ht="15" hidden="false" customHeight="false" outlineLevel="0" collapsed="false">
      <c r="A199" s="2" t="n">
        <v>214.24</v>
      </c>
      <c r="B199" s="2" t="n">
        <v>11.964</v>
      </c>
      <c r="C199" s="2" t="n">
        <v>-0.314</v>
      </c>
      <c r="D199" s="2" t="n">
        <v>5.224</v>
      </c>
      <c r="E199" s="2" t="n">
        <v>0</v>
      </c>
      <c r="F199" s="2" t="n">
        <v>77</v>
      </c>
      <c r="G199" s="2" t="n">
        <v>400</v>
      </c>
      <c r="H199" s="2" t="n">
        <v>53</v>
      </c>
      <c r="I199" s="2" t="n">
        <v>124</v>
      </c>
      <c r="J199" s="2"/>
      <c r="K199" s="2" t="n">
        <v>1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1</v>
      </c>
      <c r="Q199" s="2" t="n">
        <v>1</v>
      </c>
      <c r="R199" s="2" t="n">
        <v>0</v>
      </c>
      <c r="S199" s="2" t="n">
        <f aca="false">A200-A199</f>
        <v>0.199999999999989</v>
      </c>
      <c r="T199" s="2" t="n">
        <f aca="false">C199+Summary!$C$8*D199</f>
        <v>0.111756</v>
      </c>
      <c r="U199" s="2" t="n">
        <f aca="false">B199*T199</f>
        <v>1.337048784</v>
      </c>
      <c r="V199" s="2" t="n">
        <f aca="false">B199*C199</f>
        <v>-3.756696</v>
      </c>
    </row>
    <row r="200" customFormat="false" ht="15" hidden="false" customHeight="false" outlineLevel="0" collapsed="false">
      <c r="A200" s="2" t="n">
        <v>214.44</v>
      </c>
      <c r="B200" s="2" t="n">
        <v>11.968</v>
      </c>
      <c r="C200" s="2" t="n">
        <v>-0.315</v>
      </c>
      <c r="D200" s="2" t="n">
        <v>5.235</v>
      </c>
      <c r="E200" s="2" t="n">
        <v>0</v>
      </c>
      <c r="F200" s="2" t="n">
        <v>77</v>
      </c>
      <c r="G200" s="2" t="n">
        <v>400</v>
      </c>
      <c r="H200" s="2" t="n">
        <v>18</v>
      </c>
      <c r="I200" s="2" t="n">
        <v>149</v>
      </c>
      <c r="J200" s="2"/>
      <c r="K200" s="2" t="n">
        <v>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1</v>
      </c>
      <c r="Q200" s="2" t="n">
        <v>1</v>
      </c>
      <c r="R200" s="2" t="n">
        <v>0</v>
      </c>
      <c r="S200" s="2" t="n">
        <f aca="false">A201-A200</f>
        <v>0.199999999999989</v>
      </c>
      <c r="T200" s="2" t="n">
        <f aca="false">C200+Summary!$C$8*D200</f>
        <v>0.1116525</v>
      </c>
      <c r="U200" s="2" t="n">
        <f aca="false">B200*T200</f>
        <v>1.33625712</v>
      </c>
      <c r="V200" s="2" t="n">
        <f aca="false">B200*C200</f>
        <v>-3.76992</v>
      </c>
    </row>
    <row r="201" customFormat="false" ht="15" hidden="false" customHeight="false" outlineLevel="0" collapsed="false">
      <c r="A201" s="2" t="n">
        <v>214.64</v>
      </c>
      <c r="B201" s="2" t="n">
        <v>11.964</v>
      </c>
      <c r="C201" s="2" t="n">
        <v>-0.315</v>
      </c>
      <c r="D201" s="2" t="n">
        <v>5.24</v>
      </c>
      <c r="E201" s="2" t="n">
        <v>0</v>
      </c>
      <c r="F201" s="2" t="n">
        <v>77</v>
      </c>
      <c r="G201" s="2" t="n">
        <v>153</v>
      </c>
      <c r="H201" s="2" t="n">
        <v>52</v>
      </c>
      <c r="I201" s="2" t="n">
        <v>35</v>
      </c>
      <c r="J201" s="2"/>
      <c r="K201" s="2" t="n">
        <v>1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1</v>
      </c>
      <c r="Q201" s="2" t="n">
        <v>1</v>
      </c>
      <c r="R201" s="2" t="n">
        <v>0</v>
      </c>
      <c r="S201" s="2" t="n">
        <f aca="false">A202-A201</f>
        <v>0.200000000000017</v>
      </c>
      <c r="T201" s="2" t="n">
        <f aca="false">C201+Summary!$C$8*D201</f>
        <v>0.11206</v>
      </c>
      <c r="U201" s="2" t="n">
        <f aca="false">B201*T201</f>
        <v>1.34068584</v>
      </c>
      <c r="V201" s="2" t="n">
        <f aca="false">B201*C201</f>
        <v>-3.76866</v>
      </c>
    </row>
    <row r="202" customFormat="false" ht="15" hidden="false" customHeight="false" outlineLevel="0" collapsed="false">
      <c r="A202" s="2" t="n">
        <v>214.84</v>
      </c>
      <c r="B202" s="2" t="n">
        <v>11.964</v>
      </c>
      <c r="C202" s="2" t="n">
        <v>-0.316</v>
      </c>
      <c r="D202" s="2" t="n">
        <v>5.252</v>
      </c>
      <c r="E202" s="2" t="n">
        <v>0</v>
      </c>
      <c r="F202" s="2" t="n">
        <v>77</v>
      </c>
      <c r="G202" s="2" t="n">
        <v>400</v>
      </c>
      <c r="H202" s="2" t="n">
        <v>50</v>
      </c>
      <c r="I202" s="2" t="n">
        <v>34</v>
      </c>
      <c r="J202" s="2"/>
      <c r="K202" s="2" t="n">
        <v>1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1</v>
      </c>
      <c r="Q202" s="2" t="n">
        <v>1</v>
      </c>
      <c r="R202" s="2" t="n">
        <v>0</v>
      </c>
      <c r="S202" s="2" t="n">
        <f aca="false">A203-A202</f>
        <v>0.199999999999989</v>
      </c>
      <c r="T202" s="2" t="n">
        <f aca="false">C202+Summary!$C$8*D202</f>
        <v>0.112038</v>
      </c>
      <c r="U202" s="2" t="n">
        <f aca="false">B202*T202</f>
        <v>1.340422632</v>
      </c>
      <c r="V202" s="2" t="n">
        <f aca="false">B202*C202</f>
        <v>-3.780624</v>
      </c>
    </row>
    <row r="203" customFormat="false" ht="15" hidden="false" customHeight="false" outlineLevel="0" collapsed="false">
      <c r="A203" s="2" t="n">
        <v>215.04</v>
      </c>
      <c r="B203" s="2" t="n">
        <v>11.964</v>
      </c>
      <c r="C203" s="2" t="n">
        <v>-0.316</v>
      </c>
      <c r="D203" s="2" t="n">
        <v>5.254</v>
      </c>
      <c r="E203" s="2" t="n">
        <v>0</v>
      </c>
      <c r="F203" s="2" t="n">
        <v>77</v>
      </c>
      <c r="G203" s="2" t="n">
        <v>400</v>
      </c>
      <c r="H203" s="2" t="n">
        <v>50</v>
      </c>
      <c r="I203" s="2" t="n">
        <v>400</v>
      </c>
      <c r="J203" s="2"/>
      <c r="K203" s="2" t="n">
        <v>1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1</v>
      </c>
      <c r="Q203" s="2" t="n">
        <v>1</v>
      </c>
      <c r="R203" s="2" t="n">
        <v>0</v>
      </c>
      <c r="S203" s="2" t="n">
        <f aca="false">A204-A203</f>
        <v>0.200000000000017</v>
      </c>
      <c r="T203" s="2" t="n">
        <f aca="false">C203+Summary!$C$8*D203</f>
        <v>0.112201</v>
      </c>
      <c r="U203" s="2" t="n">
        <f aca="false">B203*T203</f>
        <v>1.342372764</v>
      </c>
      <c r="V203" s="2" t="n">
        <f aca="false">B203*C203</f>
        <v>-3.780624</v>
      </c>
    </row>
    <row r="204" customFormat="false" ht="15" hidden="false" customHeight="false" outlineLevel="0" collapsed="false">
      <c r="A204" s="2" t="n">
        <v>215.24</v>
      </c>
      <c r="B204" s="2" t="n">
        <v>11.964</v>
      </c>
      <c r="C204" s="2" t="n">
        <v>-0.298</v>
      </c>
      <c r="D204" s="2" t="n">
        <v>5.254</v>
      </c>
      <c r="E204" s="2" t="n">
        <v>0</v>
      </c>
      <c r="F204" s="2" t="n">
        <v>77</v>
      </c>
      <c r="G204" s="2" t="n">
        <v>400</v>
      </c>
      <c r="H204" s="2" t="n">
        <v>27</v>
      </c>
      <c r="I204" s="2" t="n">
        <v>400</v>
      </c>
      <c r="J204" s="2"/>
      <c r="K204" s="2" t="n">
        <v>1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1</v>
      </c>
      <c r="Q204" s="2" t="n">
        <v>1</v>
      </c>
      <c r="R204" s="2" t="n">
        <v>0</v>
      </c>
      <c r="S204" s="2" t="n">
        <f aca="false">A205-A204</f>
        <v>0.199999999999989</v>
      </c>
      <c r="T204" s="2" t="n">
        <f aca="false">C204+Summary!$C$8*D204</f>
        <v>0.130201</v>
      </c>
      <c r="U204" s="2" t="n">
        <f aca="false">B204*T204</f>
        <v>1.557724764</v>
      </c>
      <c r="V204" s="2" t="n">
        <f aca="false">B204*C204</f>
        <v>-3.565272</v>
      </c>
    </row>
    <row r="205" customFormat="false" ht="15" hidden="false" customHeight="false" outlineLevel="0" collapsed="false">
      <c r="A205" s="2" t="n">
        <v>215.44</v>
      </c>
      <c r="B205" s="2" t="n">
        <v>11.968</v>
      </c>
      <c r="C205" s="2" t="n">
        <v>-0.316</v>
      </c>
      <c r="D205" s="2" t="n">
        <v>5.259</v>
      </c>
      <c r="E205" s="2" t="n">
        <v>0</v>
      </c>
      <c r="F205" s="2" t="n">
        <v>77</v>
      </c>
      <c r="G205" s="2" t="n">
        <v>400</v>
      </c>
      <c r="H205" s="2" t="n">
        <v>54</v>
      </c>
      <c r="I205" s="2" t="n">
        <v>35</v>
      </c>
      <c r="J205" s="2"/>
      <c r="K205" s="2" t="n">
        <v>1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1</v>
      </c>
      <c r="Q205" s="2" t="n">
        <v>1</v>
      </c>
      <c r="R205" s="2" t="n">
        <v>0</v>
      </c>
      <c r="S205" s="2" t="n">
        <f aca="false">A206-A205</f>
        <v>0.199999999999989</v>
      </c>
      <c r="T205" s="2" t="n">
        <f aca="false">C205+Summary!$C$8*D205</f>
        <v>0.1126085</v>
      </c>
      <c r="U205" s="2" t="n">
        <f aca="false">B205*T205</f>
        <v>1.347698528</v>
      </c>
      <c r="V205" s="2" t="n">
        <f aca="false">B205*C205</f>
        <v>-3.781888</v>
      </c>
    </row>
    <row r="206" customFormat="false" ht="15" hidden="false" customHeight="false" outlineLevel="0" collapsed="false">
      <c r="A206" s="2" t="n">
        <v>215.64</v>
      </c>
      <c r="B206" s="2" t="n">
        <v>11.968</v>
      </c>
      <c r="C206" s="2" t="n">
        <v>-0.317</v>
      </c>
      <c r="D206" s="2" t="n">
        <v>5.262</v>
      </c>
      <c r="E206" s="2" t="n">
        <v>0</v>
      </c>
      <c r="F206" s="2" t="n">
        <v>77</v>
      </c>
      <c r="G206" s="2" t="n">
        <v>400</v>
      </c>
      <c r="H206" s="2" t="n">
        <v>18</v>
      </c>
      <c r="I206" s="2" t="n">
        <v>400</v>
      </c>
      <c r="J206" s="2"/>
      <c r="K206" s="2" t="n">
        <v>1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1</v>
      </c>
      <c r="Q206" s="2" t="n">
        <v>1</v>
      </c>
      <c r="R206" s="2" t="n">
        <v>0</v>
      </c>
      <c r="S206" s="2" t="n">
        <f aca="false">A207-A206</f>
        <v>0.200000000000017</v>
      </c>
      <c r="T206" s="2" t="n">
        <f aca="false">C206+Summary!$C$8*D206</f>
        <v>0.111853</v>
      </c>
      <c r="U206" s="2" t="n">
        <f aca="false">B206*T206</f>
        <v>1.338656704</v>
      </c>
      <c r="V206" s="2" t="n">
        <f aca="false">B206*C206</f>
        <v>-3.793856</v>
      </c>
    </row>
    <row r="207" customFormat="false" ht="15" hidden="false" customHeight="false" outlineLevel="0" collapsed="false">
      <c r="A207" s="2" t="n">
        <v>215.84</v>
      </c>
      <c r="B207" s="2" t="n">
        <v>11.968</v>
      </c>
      <c r="C207" s="2" t="n">
        <v>-0.317</v>
      </c>
      <c r="D207" s="2" t="n">
        <v>5.261</v>
      </c>
      <c r="E207" s="2" t="n">
        <v>0</v>
      </c>
      <c r="F207" s="2" t="n">
        <v>77</v>
      </c>
      <c r="G207" s="2" t="n">
        <v>400</v>
      </c>
      <c r="H207" s="2" t="n">
        <v>24</v>
      </c>
      <c r="I207" s="2" t="n">
        <v>37</v>
      </c>
      <c r="J207" s="2"/>
      <c r="K207" s="2" t="n">
        <v>1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1</v>
      </c>
      <c r="Q207" s="2" t="n">
        <v>1</v>
      </c>
      <c r="R207" s="2" t="n">
        <v>0</v>
      </c>
      <c r="S207" s="2" t="n">
        <f aca="false">A208-A207</f>
        <v>0.199999999999989</v>
      </c>
      <c r="T207" s="2" t="n">
        <f aca="false">C207+Summary!$C$8*D207</f>
        <v>0.1117715</v>
      </c>
      <c r="U207" s="2" t="n">
        <f aca="false">B207*T207</f>
        <v>1.337681312</v>
      </c>
      <c r="V207" s="2" t="n">
        <f aca="false">B207*C207</f>
        <v>-3.793856</v>
      </c>
    </row>
    <row r="208" customFormat="false" ht="15" hidden="false" customHeight="false" outlineLevel="0" collapsed="false">
      <c r="A208" s="2" t="n">
        <v>216.04</v>
      </c>
      <c r="B208" s="2" t="n">
        <v>11.964</v>
      </c>
      <c r="C208" s="2" t="n">
        <v>-0.317</v>
      </c>
      <c r="D208" s="2" t="n">
        <v>5.27</v>
      </c>
      <c r="E208" s="2" t="n">
        <v>0</v>
      </c>
      <c r="F208" s="2" t="n">
        <v>77</v>
      </c>
      <c r="G208" s="2" t="n">
        <v>400</v>
      </c>
      <c r="H208" s="2" t="n">
        <v>50</v>
      </c>
      <c r="I208" s="2" t="n">
        <v>36</v>
      </c>
      <c r="J208" s="2"/>
      <c r="K208" s="2" t="n">
        <v>1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1</v>
      </c>
      <c r="Q208" s="2" t="n">
        <v>1</v>
      </c>
      <c r="R208" s="2" t="n">
        <v>0</v>
      </c>
      <c r="S208" s="2" t="n">
        <f aca="false">A209-A208</f>
        <v>0.200000000000017</v>
      </c>
      <c r="T208" s="2" t="n">
        <f aca="false">C208+Summary!$C$8*D208</f>
        <v>0.112505</v>
      </c>
      <c r="U208" s="2" t="n">
        <f aca="false">B208*T208</f>
        <v>1.34600982</v>
      </c>
      <c r="V208" s="2" t="n">
        <f aca="false">B208*C208</f>
        <v>-3.792588</v>
      </c>
    </row>
    <row r="209" customFormat="false" ht="15" hidden="false" customHeight="false" outlineLevel="0" collapsed="false">
      <c r="A209" s="2" t="n">
        <v>216.24</v>
      </c>
      <c r="B209" s="2" t="n">
        <v>11.968</v>
      </c>
      <c r="C209" s="2" t="n">
        <v>-0.282</v>
      </c>
      <c r="D209" s="2" t="n">
        <v>5.269</v>
      </c>
      <c r="E209" s="2" t="n">
        <v>0</v>
      </c>
      <c r="F209" s="2" t="n">
        <v>77</v>
      </c>
      <c r="G209" s="2" t="n">
        <v>400</v>
      </c>
      <c r="H209" s="2" t="n">
        <v>24</v>
      </c>
      <c r="I209" s="2" t="n">
        <v>36</v>
      </c>
      <c r="J209" s="2"/>
      <c r="K209" s="2" t="n">
        <v>1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1</v>
      </c>
      <c r="Q209" s="2" t="n">
        <v>1</v>
      </c>
      <c r="R209" s="2" t="n">
        <v>0</v>
      </c>
      <c r="S209" s="2" t="n">
        <f aca="false">A210-A209</f>
        <v>0.199999999999989</v>
      </c>
      <c r="T209" s="2" t="n">
        <f aca="false">C209+Summary!$C$8*D209</f>
        <v>0.1474235</v>
      </c>
      <c r="U209" s="2" t="n">
        <f aca="false">B209*T209</f>
        <v>1.764364448</v>
      </c>
      <c r="V209" s="2" t="n">
        <f aca="false">B209*C209</f>
        <v>-3.374976</v>
      </c>
    </row>
    <row r="210" customFormat="false" ht="15" hidden="false" customHeight="false" outlineLevel="0" collapsed="false">
      <c r="A210" s="2" t="n">
        <v>216.44</v>
      </c>
      <c r="B210" s="2" t="n">
        <v>11.968</v>
      </c>
      <c r="C210" s="2" t="n">
        <v>-0.318</v>
      </c>
      <c r="D210" s="2" t="n">
        <v>5.267</v>
      </c>
      <c r="E210" s="2" t="n">
        <v>0</v>
      </c>
      <c r="F210" s="2" t="n">
        <v>77</v>
      </c>
      <c r="G210" s="2" t="n">
        <v>400</v>
      </c>
      <c r="H210" s="2" t="n">
        <v>18</v>
      </c>
      <c r="I210" s="2" t="n">
        <v>36</v>
      </c>
      <c r="J210" s="2"/>
      <c r="K210" s="2" t="n">
        <v>1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1</v>
      </c>
      <c r="Q210" s="2" t="n">
        <v>1</v>
      </c>
      <c r="R210" s="2" t="n">
        <v>0</v>
      </c>
      <c r="S210" s="2" t="n">
        <f aca="false">A211-A210</f>
        <v>0.199999999999989</v>
      </c>
      <c r="T210" s="2" t="n">
        <f aca="false">C210+Summary!$C$8*D210</f>
        <v>0.1112605</v>
      </c>
      <c r="U210" s="2" t="n">
        <f aca="false">B210*T210</f>
        <v>1.331565664</v>
      </c>
      <c r="V210" s="2" t="n">
        <f aca="false">B210*C210</f>
        <v>-3.805824</v>
      </c>
    </row>
    <row r="211" customFormat="false" ht="15" hidden="false" customHeight="false" outlineLevel="0" collapsed="false">
      <c r="A211" s="2" t="n">
        <v>216.64</v>
      </c>
      <c r="B211" s="2" t="n">
        <v>11.967</v>
      </c>
      <c r="C211" s="2" t="n">
        <v>-0.317</v>
      </c>
      <c r="D211" s="2" t="n">
        <v>5.278</v>
      </c>
      <c r="E211" s="2" t="n">
        <v>0</v>
      </c>
      <c r="F211" s="2" t="n">
        <v>77</v>
      </c>
      <c r="G211" s="2" t="n">
        <v>400</v>
      </c>
      <c r="H211" s="2" t="n">
        <v>24</v>
      </c>
      <c r="I211" s="2" t="n">
        <v>35</v>
      </c>
      <c r="J211" s="2"/>
      <c r="K211" s="2" t="n">
        <v>1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1</v>
      </c>
      <c r="Q211" s="2" t="n">
        <v>1</v>
      </c>
      <c r="R211" s="2" t="n">
        <v>0</v>
      </c>
      <c r="S211" s="2" t="n">
        <f aca="false">A212-A211</f>
        <v>0.200000000000017</v>
      </c>
      <c r="T211" s="2" t="n">
        <f aca="false">C211+Summary!$C$8*D211</f>
        <v>0.113157</v>
      </c>
      <c r="U211" s="2" t="n">
        <f aca="false">B211*T211</f>
        <v>1.354149819</v>
      </c>
      <c r="V211" s="2" t="n">
        <f aca="false">B211*C211</f>
        <v>-3.793539</v>
      </c>
    </row>
    <row r="212" customFormat="false" ht="15" hidden="false" customHeight="false" outlineLevel="0" collapsed="false">
      <c r="A212" s="2" t="n">
        <v>216.84</v>
      </c>
      <c r="B212" s="2" t="n">
        <v>11.968</v>
      </c>
      <c r="C212" s="2" t="n">
        <v>-0.319</v>
      </c>
      <c r="D212" s="2" t="n">
        <v>5.272</v>
      </c>
      <c r="E212" s="2" t="n">
        <v>0</v>
      </c>
      <c r="F212" s="2" t="n">
        <v>77</v>
      </c>
      <c r="G212" s="2" t="n">
        <v>400</v>
      </c>
      <c r="H212" s="2" t="n">
        <v>24</v>
      </c>
      <c r="I212" s="2" t="n">
        <v>36</v>
      </c>
      <c r="J212" s="2"/>
      <c r="K212" s="2" t="n">
        <v>1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1</v>
      </c>
      <c r="Q212" s="2" t="n">
        <v>1</v>
      </c>
      <c r="R212" s="2" t="n">
        <v>0</v>
      </c>
      <c r="S212" s="2" t="n">
        <f aca="false">A213-A212</f>
        <v>0.199999999999989</v>
      </c>
      <c r="T212" s="2" t="n">
        <f aca="false">C212+Summary!$C$8*D212</f>
        <v>0.110668</v>
      </c>
      <c r="U212" s="2" t="n">
        <f aca="false">B212*T212</f>
        <v>1.324474624</v>
      </c>
      <c r="V212" s="2" t="n">
        <f aca="false">B212*C212</f>
        <v>-3.817792</v>
      </c>
    </row>
    <row r="213" customFormat="false" ht="15" hidden="false" customHeight="false" outlineLevel="0" collapsed="false">
      <c r="A213" s="2" t="n">
        <v>217.04</v>
      </c>
      <c r="B213" s="2" t="n">
        <v>11.967</v>
      </c>
      <c r="C213" s="2" t="n">
        <v>-0.319</v>
      </c>
      <c r="D213" s="2" t="n">
        <v>5.286</v>
      </c>
      <c r="E213" s="2" t="n">
        <v>0</v>
      </c>
      <c r="F213" s="2" t="n">
        <v>77</v>
      </c>
      <c r="G213" s="2" t="n">
        <v>400</v>
      </c>
      <c r="H213" s="2" t="n">
        <v>51</v>
      </c>
      <c r="I213" s="2" t="n">
        <v>34</v>
      </c>
      <c r="J213" s="2"/>
      <c r="K213" s="2" t="n">
        <v>1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</v>
      </c>
      <c r="Q213" s="2" t="n">
        <v>1</v>
      </c>
      <c r="R213" s="2" t="n">
        <v>0</v>
      </c>
      <c r="S213" s="2" t="n">
        <f aca="false">A214-A213</f>
        <v>0.200000000000017</v>
      </c>
      <c r="T213" s="2" t="n">
        <f aca="false">C213+Summary!$C$8*D213</f>
        <v>0.111809</v>
      </c>
      <c r="U213" s="2" t="n">
        <f aca="false">B213*T213</f>
        <v>1.338018303</v>
      </c>
      <c r="V213" s="2" t="n">
        <f aca="false">B213*C213</f>
        <v>-3.817473</v>
      </c>
    </row>
    <row r="214" customFormat="false" ht="15" hidden="false" customHeight="false" outlineLevel="0" collapsed="false">
      <c r="A214" s="2" t="n">
        <v>217.24</v>
      </c>
      <c r="B214" s="2" t="n">
        <v>11.963</v>
      </c>
      <c r="C214" s="2" t="n">
        <v>-0.319</v>
      </c>
      <c r="D214" s="2" t="n">
        <v>5.292</v>
      </c>
      <c r="E214" s="2" t="n">
        <v>0</v>
      </c>
      <c r="F214" s="2" t="n">
        <v>77</v>
      </c>
      <c r="G214" s="2" t="n">
        <v>400</v>
      </c>
      <c r="H214" s="2" t="n">
        <v>53</v>
      </c>
      <c r="I214" s="2" t="n">
        <v>35</v>
      </c>
      <c r="J214" s="2"/>
      <c r="K214" s="2" t="n">
        <v>1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</v>
      </c>
      <c r="Q214" s="2" t="n">
        <v>1</v>
      </c>
      <c r="R214" s="2" t="n">
        <v>0</v>
      </c>
      <c r="S214" s="2" t="n">
        <f aca="false">A215-A214</f>
        <v>0.199999999999989</v>
      </c>
      <c r="T214" s="2" t="n">
        <f aca="false">C214+Summary!$C$8*D214</f>
        <v>0.112298</v>
      </c>
      <c r="U214" s="2" t="n">
        <f aca="false">B214*T214</f>
        <v>1.343420974</v>
      </c>
      <c r="V214" s="2" t="n">
        <f aca="false">B214*C214</f>
        <v>-3.816197</v>
      </c>
    </row>
    <row r="215" customFormat="false" ht="15" hidden="false" customHeight="false" outlineLevel="0" collapsed="false">
      <c r="A215" s="2" t="n">
        <v>217.44</v>
      </c>
      <c r="B215" s="2" t="n">
        <v>11.968</v>
      </c>
      <c r="C215" s="2" t="n">
        <v>-0.32</v>
      </c>
      <c r="D215" s="2" t="n">
        <v>5.297</v>
      </c>
      <c r="E215" s="2" t="n">
        <v>0</v>
      </c>
      <c r="F215" s="2" t="n">
        <v>77</v>
      </c>
      <c r="G215" s="2" t="n">
        <v>400</v>
      </c>
      <c r="H215" s="2" t="n">
        <v>39</v>
      </c>
      <c r="I215" s="2" t="n">
        <v>37</v>
      </c>
      <c r="J215" s="2"/>
      <c r="K215" s="2" t="n">
        <v>1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1</v>
      </c>
      <c r="Q215" s="2" t="n">
        <v>1</v>
      </c>
      <c r="R215" s="2" t="n">
        <v>0</v>
      </c>
      <c r="S215" s="2" t="n">
        <f aca="false">A216-A215</f>
        <v>0.199999999999989</v>
      </c>
      <c r="T215" s="2" t="n">
        <f aca="false">C215+Summary!$C$8*D215</f>
        <v>0.1117055</v>
      </c>
      <c r="U215" s="2" t="n">
        <f aca="false">B215*T215</f>
        <v>1.336891424</v>
      </c>
      <c r="V215" s="2" t="n">
        <f aca="false">B215*C215</f>
        <v>-3.82976</v>
      </c>
    </row>
    <row r="216" customFormat="false" ht="15" hidden="false" customHeight="false" outlineLevel="0" collapsed="false">
      <c r="A216" s="2" t="n">
        <v>217.64</v>
      </c>
      <c r="B216" s="2" t="n">
        <v>11.954</v>
      </c>
      <c r="C216" s="2" t="n">
        <v>-0.282</v>
      </c>
      <c r="D216" s="2" t="n">
        <v>5.31</v>
      </c>
      <c r="E216" s="2" t="n">
        <v>0</v>
      </c>
      <c r="F216" s="2" t="n">
        <v>77</v>
      </c>
      <c r="G216" s="2" t="n">
        <v>400</v>
      </c>
      <c r="H216" s="2" t="n">
        <v>54</v>
      </c>
      <c r="I216" s="2" t="n">
        <v>35</v>
      </c>
      <c r="J216" s="2"/>
      <c r="K216" s="2" t="n">
        <v>1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1</v>
      </c>
      <c r="Q216" s="2" t="n">
        <v>1</v>
      </c>
      <c r="R216" s="2" t="n">
        <v>0</v>
      </c>
      <c r="S216" s="2" t="n">
        <f aca="false">A217-A216</f>
        <v>0.200000000000017</v>
      </c>
      <c r="T216" s="2" t="n">
        <f aca="false">C216+Summary!$C$8*D216</f>
        <v>0.150765</v>
      </c>
      <c r="U216" s="2" t="n">
        <f aca="false">B216*T216</f>
        <v>1.80224481</v>
      </c>
      <c r="V216" s="2" t="n">
        <f aca="false">B216*C216</f>
        <v>-3.371028</v>
      </c>
    </row>
    <row r="217" customFormat="false" ht="15" hidden="false" customHeight="false" outlineLevel="0" collapsed="false">
      <c r="A217" s="2" t="n">
        <v>217.84</v>
      </c>
      <c r="B217" s="2" t="n">
        <v>11.967</v>
      </c>
      <c r="C217" s="2" t="n">
        <v>-0.322</v>
      </c>
      <c r="D217" s="2" t="n">
        <v>5.315</v>
      </c>
      <c r="E217" s="2" t="n">
        <v>0</v>
      </c>
      <c r="F217" s="2" t="n">
        <v>77</v>
      </c>
      <c r="G217" s="2" t="n">
        <v>400</v>
      </c>
      <c r="H217" s="2" t="n">
        <v>18</v>
      </c>
      <c r="I217" s="2" t="n">
        <v>34</v>
      </c>
      <c r="J217" s="2"/>
      <c r="K217" s="2" t="n">
        <v>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1</v>
      </c>
      <c r="Q217" s="2" t="n">
        <v>1</v>
      </c>
      <c r="R217" s="2" t="n">
        <v>0</v>
      </c>
      <c r="S217" s="2" t="n">
        <f aca="false">A218-A217</f>
        <v>0.199999999999989</v>
      </c>
      <c r="T217" s="2" t="n">
        <f aca="false">C217+Summary!$C$8*D217</f>
        <v>0.1111725</v>
      </c>
      <c r="U217" s="2" t="n">
        <f aca="false">B217*T217</f>
        <v>1.3304013075</v>
      </c>
      <c r="V217" s="2" t="n">
        <f aca="false">B217*C217</f>
        <v>-3.853374</v>
      </c>
    </row>
    <row r="218" customFormat="false" ht="15" hidden="false" customHeight="false" outlineLevel="0" collapsed="false">
      <c r="A218" s="2" t="n">
        <v>218.04</v>
      </c>
      <c r="B218" s="2" t="n">
        <v>11.967</v>
      </c>
      <c r="C218" s="2" t="n">
        <v>-0.322</v>
      </c>
      <c r="D218" s="2" t="n">
        <v>5.319</v>
      </c>
      <c r="E218" s="2" t="n">
        <v>0</v>
      </c>
      <c r="F218" s="2" t="n">
        <v>77</v>
      </c>
      <c r="G218" s="2" t="n">
        <v>400</v>
      </c>
      <c r="H218" s="2" t="n">
        <v>27</v>
      </c>
      <c r="I218" s="2" t="n">
        <v>64</v>
      </c>
      <c r="J218" s="2"/>
      <c r="K218" s="2" t="n">
        <v>1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1</v>
      </c>
      <c r="Q218" s="2" t="n">
        <v>1</v>
      </c>
      <c r="R218" s="2" t="n">
        <v>0</v>
      </c>
      <c r="S218" s="2" t="n">
        <f aca="false">A219-A218</f>
        <v>0.200000000000017</v>
      </c>
      <c r="T218" s="2" t="n">
        <f aca="false">C218+Summary!$C$8*D218</f>
        <v>0.1114985</v>
      </c>
      <c r="U218" s="2" t="n">
        <f aca="false">B218*T218</f>
        <v>1.3343025495</v>
      </c>
      <c r="V218" s="2" t="n">
        <f aca="false">B218*C218</f>
        <v>-3.853374</v>
      </c>
    </row>
    <row r="219" customFormat="false" ht="15" hidden="false" customHeight="false" outlineLevel="0" collapsed="false">
      <c r="A219" s="2" t="n">
        <v>218.24</v>
      </c>
      <c r="B219" s="2" t="n">
        <v>11.971</v>
      </c>
      <c r="C219" s="2" t="n">
        <v>-0.321</v>
      </c>
      <c r="D219" s="2" t="n">
        <v>5.323</v>
      </c>
      <c r="E219" s="2" t="n">
        <v>0</v>
      </c>
      <c r="F219" s="2" t="n">
        <v>77</v>
      </c>
      <c r="G219" s="2" t="n">
        <v>400</v>
      </c>
      <c r="H219" s="2" t="n">
        <v>18</v>
      </c>
      <c r="I219" s="2" t="n">
        <v>36</v>
      </c>
      <c r="J219" s="2"/>
      <c r="K219" s="2" t="n">
        <v>1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1</v>
      </c>
      <c r="Q219" s="2" t="n">
        <v>1</v>
      </c>
      <c r="R219" s="2" t="n">
        <v>0</v>
      </c>
      <c r="S219" s="2" t="n">
        <f aca="false">A220-A219</f>
        <v>0.199999999999989</v>
      </c>
      <c r="T219" s="2" t="n">
        <f aca="false">C219+Summary!$C$8*D219</f>
        <v>0.1128245</v>
      </c>
      <c r="U219" s="2" t="n">
        <f aca="false">B219*T219</f>
        <v>1.3506220895</v>
      </c>
      <c r="V219" s="2" t="n">
        <f aca="false">B219*C219</f>
        <v>-3.842691</v>
      </c>
    </row>
    <row r="220" customFormat="false" ht="15" hidden="false" customHeight="false" outlineLevel="0" collapsed="false">
      <c r="A220" s="2" t="n">
        <v>218.44</v>
      </c>
      <c r="B220" s="2" t="n">
        <v>11.967</v>
      </c>
      <c r="C220" s="2" t="n">
        <v>-0.322</v>
      </c>
      <c r="D220" s="2" t="n">
        <v>5.326</v>
      </c>
      <c r="E220" s="2" t="n">
        <v>0</v>
      </c>
      <c r="F220" s="2" t="n">
        <v>77</v>
      </c>
      <c r="G220" s="2" t="n">
        <v>400</v>
      </c>
      <c r="H220" s="2" t="n">
        <v>27</v>
      </c>
      <c r="I220" s="2" t="n">
        <v>400</v>
      </c>
      <c r="J220" s="2"/>
      <c r="K220" s="2" t="n">
        <v>1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1</v>
      </c>
      <c r="Q220" s="2" t="n">
        <v>1</v>
      </c>
      <c r="R220" s="2" t="n">
        <v>0</v>
      </c>
      <c r="S220" s="2" t="n">
        <f aca="false">A221-A220</f>
        <v>0.199999999999989</v>
      </c>
      <c r="T220" s="2" t="n">
        <f aca="false">C220+Summary!$C$8*D220</f>
        <v>0.112069</v>
      </c>
      <c r="U220" s="2" t="n">
        <f aca="false">B220*T220</f>
        <v>1.341129723</v>
      </c>
      <c r="V220" s="2" t="n">
        <f aca="false">B220*C220</f>
        <v>-3.853374</v>
      </c>
    </row>
    <row r="221" customFormat="false" ht="15" hidden="false" customHeight="false" outlineLevel="0" collapsed="false">
      <c r="A221" s="2" t="n">
        <v>218.64</v>
      </c>
      <c r="B221" s="2" t="n">
        <v>11.967</v>
      </c>
      <c r="C221" s="2" t="n">
        <v>-0.323</v>
      </c>
      <c r="D221" s="2" t="n">
        <v>5.321</v>
      </c>
      <c r="E221" s="2" t="n">
        <v>0</v>
      </c>
      <c r="F221" s="2" t="n">
        <v>77</v>
      </c>
      <c r="G221" s="2" t="n">
        <v>400</v>
      </c>
      <c r="H221" s="2" t="n">
        <v>24</v>
      </c>
      <c r="I221" s="2" t="n">
        <v>35</v>
      </c>
      <c r="J221" s="2"/>
      <c r="K221" s="2" t="n">
        <v>1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1</v>
      </c>
      <c r="Q221" s="2" t="n">
        <v>1</v>
      </c>
      <c r="R221" s="2" t="n">
        <v>0</v>
      </c>
      <c r="S221" s="2" t="n">
        <f aca="false">A222-A221</f>
        <v>0.200000000000017</v>
      </c>
      <c r="T221" s="2" t="n">
        <f aca="false">C221+Summary!$C$8*D221</f>
        <v>0.1106615</v>
      </c>
      <c r="U221" s="2" t="n">
        <f aca="false">B221*T221</f>
        <v>1.3242861705</v>
      </c>
      <c r="V221" s="2" t="n">
        <f aca="false">B221*C221</f>
        <v>-3.865341</v>
      </c>
    </row>
    <row r="222" customFormat="false" ht="15" hidden="false" customHeight="false" outlineLevel="0" collapsed="false">
      <c r="A222" s="2" t="n">
        <v>218.84</v>
      </c>
      <c r="B222" s="2" t="n">
        <v>11.971</v>
      </c>
      <c r="C222" s="2" t="n">
        <v>-0.322</v>
      </c>
      <c r="D222" s="2" t="n">
        <v>5.328</v>
      </c>
      <c r="E222" s="2" t="n">
        <v>0</v>
      </c>
      <c r="F222" s="2" t="n">
        <v>77</v>
      </c>
      <c r="G222" s="2" t="n">
        <v>400</v>
      </c>
      <c r="H222" s="2" t="n">
        <v>18</v>
      </c>
      <c r="I222" s="2" t="n">
        <v>35</v>
      </c>
      <c r="J222" s="2"/>
      <c r="K222" s="2" t="n">
        <v>1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1</v>
      </c>
      <c r="Q222" s="2" t="n">
        <v>1</v>
      </c>
      <c r="R222" s="2" t="n">
        <v>0</v>
      </c>
      <c r="S222" s="2" t="n">
        <f aca="false">A223-A222</f>
        <v>0.199999999999989</v>
      </c>
      <c r="T222" s="2" t="n">
        <f aca="false">C222+Summary!$C$8*D222</f>
        <v>0.112232</v>
      </c>
      <c r="U222" s="2" t="n">
        <f aca="false">B222*T222</f>
        <v>1.343529272</v>
      </c>
      <c r="V222" s="2" t="n">
        <f aca="false">B222*C222</f>
        <v>-3.854662</v>
      </c>
    </row>
    <row r="223" customFormat="false" ht="15" hidden="false" customHeight="false" outlineLevel="0" collapsed="false">
      <c r="A223" s="2" t="n">
        <v>219.04</v>
      </c>
      <c r="B223" s="2" t="n">
        <v>11.971</v>
      </c>
      <c r="C223" s="2" t="n">
        <v>-0.322</v>
      </c>
      <c r="D223" s="2" t="n">
        <v>5.329</v>
      </c>
      <c r="E223" s="2" t="n">
        <v>0</v>
      </c>
      <c r="F223" s="2" t="n">
        <v>77</v>
      </c>
      <c r="G223" s="2" t="n">
        <v>400</v>
      </c>
      <c r="H223" s="2" t="n">
        <v>18</v>
      </c>
      <c r="I223" s="2" t="n">
        <v>66</v>
      </c>
      <c r="J223" s="2"/>
      <c r="K223" s="2" t="n">
        <v>1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1</v>
      </c>
      <c r="Q223" s="2" t="n">
        <v>1</v>
      </c>
      <c r="R223" s="2" t="n">
        <v>0</v>
      </c>
      <c r="S223" s="2" t="n">
        <f aca="false">A224-A223</f>
        <v>0.200000000000017</v>
      </c>
      <c r="T223" s="2" t="n">
        <f aca="false">C223+Summary!$C$8*D223</f>
        <v>0.1123135</v>
      </c>
      <c r="U223" s="2" t="n">
        <f aca="false">B223*T223</f>
        <v>1.3445049085</v>
      </c>
      <c r="V223" s="2" t="n">
        <f aca="false">B223*C223</f>
        <v>-3.854662</v>
      </c>
    </row>
    <row r="224" customFormat="false" ht="15" hidden="false" customHeight="false" outlineLevel="0" collapsed="false">
      <c r="A224" s="2" t="n">
        <v>219.24</v>
      </c>
      <c r="B224" s="2" t="n">
        <v>11.967</v>
      </c>
      <c r="C224" s="2" t="n">
        <v>-0.322</v>
      </c>
      <c r="D224" s="2" t="n">
        <v>5.32</v>
      </c>
      <c r="E224" s="2" t="n">
        <v>0</v>
      </c>
      <c r="F224" s="2" t="n">
        <v>77</v>
      </c>
      <c r="G224" s="2" t="n">
        <v>400</v>
      </c>
      <c r="H224" s="2" t="n">
        <v>18</v>
      </c>
      <c r="I224" s="2" t="n">
        <v>64</v>
      </c>
      <c r="J224" s="2"/>
      <c r="K224" s="2" t="n">
        <v>1</v>
      </c>
      <c r="L224" s="2" t="n">
        <v>1</v>
      </c>
      <c r="M224" s="2" t="n">
        <v>0</v>
      </c>
      <c r="N224" s="2" t="n">
        <v>0</v>
      </c>
      <c r="O224" s="2" t="n">
        <v>0</v>
      </c>
      <c r="P224" s="2" t="n">
        <v>1</v>
      </c>
      <c r="Q224" s="2" t="n">
        <v>1</v>
      </c>
      <c r="R224" s="2" t="n">
        <v>0</v>
      </c>
      <c r="S224" s="2" t="n">
        <f aca="false">A225-A224</f>
        <v>0.199999999999989</v>
      </c>
      <c r="T224" s="2" t="n">
        <f aca="false">C224+Summary!$C$8*D224</f>
        <v>0.11158</v>
      </c>
      <c r="U224" s="2" t="n">
        <f aca="false">B224*T224</f>
        <v>1.33527786</v>
      </c>
      <c r="V224" s="2" t="n">
        <f aca="false">B224*C224</f>
        <v>-3.853374</v>
      </c>
      <c r="W224" s="2" t="s">
        <v>68</v>
      </c>
      <c r="X224" s="2" t="s">
        <v>10</v>
      </c>
    </row>
    <row r="225" customFormat="false" ht="15" hidden="false" customHeight="false" outlineLevel="0" collapsed="false">
      <c r="A225" s="2" t="n">
        <v>219.44</v>
      </c>
      <c r="B225" s="2" t="n">
        <v>11.848</v>
      </c>
      <c r="C225" s="2" t="n">
        <v>0.101</v>
      </c>
      <c r="D225" s="2" t="n">
        <v>5.312</v>
      </c>
      <c r="E225" s="2" t="n">
        <v>0</v>
      </c>
      <c r="F225" s="2" t="n">
        <v>77</v>
      </c>
      <c r="G225" s="2" t="n">
        <v>400</v>
      </c>
      <c r="H225" s="2" t="n">
        <v>139</v>
      </c>
      <c r="I225" s="2" t="n">
        <v>400</v>
      </c>
      <c r="J225" s="2"/>
      <c r="K225" s="2" t="n">
        <v>1</v>
      </c>
      <c r="L225" s="2" t="n">
        <v>1</v>
      </c>
      <c r="M225" s="2" t="n">
        <v>0</v>
      </c>
      <c r="N225" s="2" t="n">
        <v>0</v>
      </c>
      <c r="O225" s="2" t="n">
        <v>0</v>
      </c>
      <c r="P225" s="2" t="n">
        <v>1</v>
      </c>
      <c r="Q225" s="2" t="n">
        <v>1</v>
      </c>
      <c r="R225" s="2" t="n">
        <v>0</v>
      </c>
      <c r="S225" s="2" t="n">
        <f aca="false">A226-A225</f>
        <v>0.199999999999989</v>
      </c>
      <c r="T225" s="2" t="n">
        <f aca="false">C225+Summary!$C$8*D225</f>
        <v>0.533928</v>
      </c>
      <c r="U225" s="2" t="n">
        <f aca="false">B225*T225</f>
        <v>6.325978944</v>
      </c>
      <c r="V225" s="2" t="n">
        <f aca="false">B225*C225</f>
        <v>1.196648</v>
      </c>
      <c r="W225" s="2" t="s">
        <v>68</v>
      </c>
      <c r="X225" s="2" t="s">
        <v>10</v>
      </c>
    </row>
    <row r="226" customFormat="false" ht="15" hidden="false" customHeight="false" outlineLevel="0" collapsed="false">
      <c r="A226" s="2" t="n">
        <v>219.64</v>
      </c>
      <c r="B226" s="2" t="n">
        <v>11.876</v>
      </c>
      <c r="C226" s="2" t="n">
        <v>-0.009</v>
      </c>
      <c r="D226" s="2" t="n">
        <v>5.338</v>
      </c>
      <c r="E226" s="2" t="n">
        <v>0</v>
      </c>
      <c r="F226" s="2" t="n">
        <v>77</v>
      </c>
      <c r="G226" s="2" t="n">
        <v>400</v>
      </c>
      <c r="H226" s="2" t="n">
        <v>29</v>
      </c>
      <c r="I226" s="2" t="n">
        <v>400</v>
      </c>
      <c r="J226" s="2"/>
      <c r="K226" s="2" t="n">
        <v>1</v>
      </c>
      <c r="L226" s="2" t="n">
        <v>1</v>
      </c>
      <c r="M226" s="2" t="n">
        <v>0</v>
      </c>
      <c r="N226" s="2" t="n">
        <v>0</v>
      </c>
      <c r="O226" s="2" t="n">
        <v>0</v>
      </c>
      <c r="P226" s="2" t="n">
        <v>1</v>
      </c>
      <c r="Q226" s="2" t="n">
        <v>1</v>
      </c>
      <c r="R226" s="2" t="n">
        <v>0</v>
      </c>
      <c r="S226" s="2" t="n">
        <f aca="false">A227-A226</f>
        <v>0.200000000000017</v>
      </c>
      <c r="T226" s="2" t="n">
        <f aca="false">C226+Summary!$C$8*D226</f>
        <v>0.426047</v>
      </c>
      <c r="U226" s="2" t="n">
        <f aca="false">B226*T226</f>
        <v>5.059734172</v>
      </c>
      <c r="V226" s="2" t="n">
        <f aca="false">B226*C226</f>
        <v>-0.106884</v>
      </c>
      <c r="W226" s="2" t="s">
        <v>68</v>
      </c>
      <c r="X226" s="2" t="s">
        <v>10</v>
      </c>
    </row>
    <row r="227" customFormat="false" ht="15" hidden="false" customHeight="false" outlineLevel="0" collapsed="false">
      <c r="A227" s="2" t="n">
        <v>219.84</v>
      </c>
      <c r="B227" s="2" t="n">
        <v>11.871</v>
      </c>
      <c r="C227" s="2" t="n">
        <v>-0.013</v>
      </c>
      <c r="D227" s="2" t="n">
        <v>5.34</v>
      </c>
      <c r="E227" s="2" t="n">
        <v>0</v>
      </c>
      <c r="F227" s="2" t="n">
        <v>77</v>
      </c>
      <c r="G227" s="2" t="n">
        <v>400</v>
      </c>
      <c r="H227" s="2" t="n">
        <v>33</v>
      </c>
      <c r="I227" s="2" t="n">
        <v>400</v>
      </c>
      <c r="J227" s="2"/>
      <c r="K227" s="2" t="n">
        <v>1</v>
      </c>
      <c r="L227" s="2" t="n">
        <v>1</v>
      </c>
      <c r="M227" s="2" t="n">
        <v>0</v>
      </c>
      <c r="N227" s="2" t="n">
        <v>0</v>
      </c>
      <c r="O227" s="2" t="n">
        <v>0</v>
      </c>
      <c r="P227" s="2" t="n">
        <v>1</v>
      </c>
      <c r="Q227" s="2" t="n">
        <v>1</v>
      </c>
      <c r="R227" s="2" t="n">
        <v>0</v>
      </c>
      <c r="S227" s="2" t="n">
        <f aca="false">A228-A227</f>
        <v>0.199999999999989</v>
      </c>
      <c r="T227" s="2" t="n">
        <f aca="false">C227+Summary!$C$8*D227</f>
        <v>0.42221</v>
      </c>
      <c r="U227" s="2" t="n">
        <f aca="false">B227*T227</f>
        <v>5.01205491</v>
      </c>
      <c r="V227" s="2" t="n">
        <f aca="false">B227*C227</f>
        <v>-0.154323</v>
      </c>
      <c r="W227" s="2" t="s">
        <v>68</v>
      </c>
      <c r="X227" s="2" t="s">
        <v>10</v>
      </c>
    </row>
    <row r="228" customFormat="false" ht="15" hidden="false" customHeight="false" outlineLevel="0" collapsed="false">
      <c r="A228" s="2" t="n">
        <v>220.04</v>
      </c>
      <c r="B228" s="2" t="n">
        <v>11.714</v>
      </c>
      <c r="C228" s="2" t="n">
        <v>0.49</v>
      </c>
      <c r="D228" s="2" t="n">
        <v>5.24</v>
      </c>
      <c r="E228" s="2" t="n">
        <v>0</v>
      </c>
      <c r="F228" s="2" t="n">
        <v>77</v>
      </c>
      <c r="G228" s="2" t="n">
        <v>400</v>
      </c>
      <c r="H228" s="2" t="n">
        <v>36</v>
      </c>
      <c r="I228" s="2" t="n">
        <v>400</v>
      </c>
      <c r="J228" s="2"/>
      <c r="K228" s="2" t="n">
        <v>1</v>
      </c>
      <c r="L228" s="2" t="n">
        <v>1</v>
      </c>
      <c r="M228" s="2" t="n">
        <v>0</v>
      </c>
      <c r="N228" s="2" t="n">
        <v>0</v>
      </c>
      <c r="O228" s="2" t="n">
        <v>0</v>
      </c>
      <c r="P228" s="2" t="n">
        <v>1</v>
      </c>
      <c r="Q228" s="2" t="n">
        <v>1</v>
      </c>
      <c r="R228" s="2" t="n">
        <v>0</v>
      </c>
      <c r="S228" s="2" t="n">
        <f aca="false">A229-A228</f>
        <v>0.200000000000017</v>
      </c>
      <c r="T228" s="2" t="n">
        <f aca="false">C228+Summary!$C$8*D228</f>
        <v>0.91706</v>
      </c>
      <c r="U228" s="2" t="n">
        <f aca="false">B228*T228</f>
        <v>10.74244084</v>
      </c>
      <c r="V228" s="2" t="n">
        <f aca="false">B228*C228</f>
        <v>5.73986</v>
      </c>
      <c r="W228" s="2" t="s">
        <v>68</v>
      </c>
      <c r="X228" s="2" t="s">
        <v>10</v>
      </c>
    </row>
    <row r="229" customFormat="false" ht="15" hidden="false" customHeight="false" outlineLevel="0" collapsed="false">
      <c r="A229" s="2" t="n">
        <v>220.24</v>
      </c>
      <c r="B229" s="2" t="n">
        <v>11.816</v>
      </c>
      <c r="C229" s="2" t="n">
        <v>0.154</v>
      </c>
      <c r="D229" s="2" t="n">
        <v>5.195</v>
      </c>
      <c r="E229" s="2" t="n">
        <v>0</v>
      </c>
      <c r="F229" s="2" t="n">
        <v>77</v>
      </c>
      <c r="G229" s="2" t="n">
        <v>400</v>
      </c>
      <c r="H229" s="2" t="n">
        <v>141</v>
      </c>
      <c r="I229" s="2" t="n">
        <v>400</v>
      </c>
      <c r="J229" s="2"/>
      <c r="K229" s="2" t="n">
        <v>1</v>
      </c>
      <c r="L229" s="2" t="n">
        <v>1</v>
      </c>
      <c r="M229" s="2" t="n">
        <v>0</v>
      </c>
      <c r="N229" s="2" t="n">
        <v>0</v>
      </c>
      <c r="O229" s="2" t="n">
        <v>0</v>
      </c>
      <c r="P229" s="2" t="n">
        <v>1</v>
      </c>
      <c r="Q229" s="2" t="n">
        <v>1</v>
      </c>
      <c r="R229" s="2" t="n">
        <v>0</v>
      </c>
      <c r="S229" s="2" t="n">
        <f aca="false">A230-A229</f>
        <v>0.199999999999989</v>
      </c>
      <c r="T229" s="2" t="n">
        <f aca="false">C229+Summary!$C$8*D229</f>
        <v>0.5773925</v>
      </c>
      <c r="U229" s="2" t="n">
        <f aca="false">B229*T229</f>
        <v>6.82246978</v>
      </c>
      <c r="V229" s="2" t="n">
        <f aca="false">B229*C229</f>
        <v>1.819664</v>
      </c>
      <c r="W229" s="2" t="s">
        <v>68</v>
      </c>
      <c r="X229" s="2" t="s">
        <v>10</v>
      </c>
    </row>
    <row r="230" customFormat="false" ht="15" hidden="false" customHeight="false" outlineLevel="0" collapsed="false">
      <c r="A230" s="2" t="n">
        <v>220.44</v>
      </c>
      <c r="B230" s="2" t="n">
        <v>11.835</v>
      </c>
      <c r="C230" s="2" t="n">
        <v>0.08</v>
      </c>
      <c r="D230" s="2" t="n">
        <v>5.203</v>
      </c>
      <c r="E230" s="2" t="n">
        <v>0</v>
      </c>
      <c r="F230" s="2" t="n">
        <v>77</v>
      </c>
      <c r="G230" s="2" t="n">
        <v>49</v>
      </c>
      <c r="H230" s="2" t="n">
        <v>43</v>
      </c>
      <c r="I230" s="2" t="n">
        <v>400</v>
      </c>
      <c r="J230" s="2"/>
      <c r="K230" s="2" t="n">
        <v>1</v>
      </c>
      <c r="L230" s="2" t="n">
        <v>1</v>
      </c>
      <c r="M230" s="2" t="n">
        <v>0</v>
      </c>
      <c r="N230" s="2" t="n">
        <v>0</v>
      </c>
      <c r="O230" s="2" t="n">
        <v>0</v>
      </c>
      <c r="P230" s="2" t="n">
        <v>1</v>
      </c>
      <c r="Q230" s="2" t="n">
        <v>1</v>
      </c>
      <c r="R230" s="2" t="n">
        <v>0</v>
      </c>
      <c r="S230" s="2" t="n">
        <f aca="false">A231-A230</f>
        <v>0.199999999999989</v>
      </c>
      <c r="T230" s="2" t="n">
        <f aca="false">C230+Summary!$C$8*D230</f>
        <v>0.5040445</v>
      </c>
      <c r="U230" s="2" t="n">
        <f aca="false">B230*T230</f>
        <v>5.9653666575</v>
      </c>
      <c r="V230" s="2" t="n">
        <f aca="false">B230*C230</f>
        <v>0.9468</v>
      </c>
      <c r="W230" s="2" t="s">
        <v>68</v>
      </c>
      <c r="X230" s="2" t="s">
        <v>10</v>
      </c>
    </row>
    <row r="231" customFormat="false" ht="15" hidden="false" customHeight="false" outlineLevel="0" collapsed="false">
      <c r="A231" s="2" t="n">
        <v>220.64</v>
      </c>
      <c r="B231" s="2" t="n">
        <v>11.832</v>
      </c>
      <c r="C231" s="2" t="n">
        <v>0.093</v>
      </c>
      <c r="D231" s="2" t="n">
        <v>5.128</v>
      </c>
      <c r="E231" s="2" t="n">
        <v>0.013</v>
      </c>
      <c r="F231" s="2" t="n">
        <v>77</v>
      </c>
      <c r="G231" s="2" t="n">
        <v>400</v>
      </c>
      <c r="H231" s="2" t="n">
        <v>400</v>
      </c>
      <c r="I231" s="2" t="n">
        <v>400</v>
      </c>
      <c r="J231" s="2"/>
      <c r="K231" s="2" t="n">
        <v>1</v>
      </c>
      <c r="L231" s="2" t="n">
        <v>1</v>
      </c>
      <c r="M231" s="2" t="n">
        <v>0</v>
      </c>
      <c r="N231" s="2" t="n">
        <v>0</v>
      </c>
      <c r="O231" s="2" t="n">
        <v>0</v>
      </c>
      <c r="P231" s="2" t="n">
        <v>1</v>
      </c>
      <c r="Q231" s="2" t="n">
        <v>1</v>
      </c>
      <c r="R231" s="2" t="n">
        <v>0</v>
      </c>
      <c r="S231" s="2" t="n">
        <f aca="false">A232-A231</f>
        <v>0.200000000000017</v>
      </c>
      <c r="T231" s="2" t="n">
        <f aca="false">C231+Summary!$C$8*D231</f>
        <v>0.510932</v>
      </c>
      <c r="U231" s="2" t="n">
        <f aca="false">B231*T231</f>
        <v>6.045347424</v>
      </c>
      <c r="V231" s="2" t="n">
        <f aca="false">B231*C231</f>
        <v>1.100376</v>
      </c>
      <c r="W231" s="2" t="s">
        <v>68</v>
      </c>
      <c r="X231" s="2" t="s">
        <v>10</v>
      </c>
    </row>
    <row r="232" customFormat="false" ht="15" hidden="false" customHeight="false" outlineLevel="0" collapsed="false">
      <c r="A232" s="2" t="n">
        <v>220.84</v>
      </c>
      <c r="B232" s="2" t="n">
        <v>11.825</v>
      </c>
      <c r="C232" s="2" t="n">
        <v>0.085</v>
      </c>
      <c r="D232" s="2" t="n">
        <v>5.142</v>
      </c>
      <c r="E232" s="2" t="n">
        <v>0</v>
      </c>
      <c r="F232" s="2" t="n">
        <v>77</v>
      </c>
      <c r="G232" s="2" t="n">
        <v>400</v>
      </c>
      <c r="H232" s="2" t="n">
        <v>400</v>
      </c>
      <c r="I232" s="2" t="n">
        <v>36</v>
      </c>
      <c r="J232" s="2"/>
      <c r="K232" s="2" t="n">
        <v>1</v>
      </c>
      <c r="L232" s="2" t="n">
        <v>1</v>
      </c>
      <c r="M232" s="2" t="n">
        <v>0</v>
      </c>
      <c r="N232" s="2" t="n">
        <v>0</v>
      </c>
      <c r="O232" s="2" t="n">
        <v>0</v>
      </c>
      <c r="P232" s="2" t="n">
        <v>1</v>
      </c>
      <c r="Q232" s="2" t="n">
        <v>1</v>
      </c>
      <c r="R232" s="2" t="n">
        <v>0</v>
      </c>
      <c r="S232" s="2" t="n">
        <f aca="false">A233-A232</f>
        <v>0.199999999999989</v>
      </c>
      <c r="T232" s="2" t="n">
        <f aca="false">C232+Summary!$C$8*D232</f>
        <v>0.504073</v>
      </c>
      <c r="U232" s="2" t="n">
        <f aca="false">B232*T232</f>
        <v>5.960663225</v>
      </c>
      <c r="V232" s="2" t="n">
        <f aca="false">B232*C232</f>
        <v>1.005125</v>
      </c>
      <c r="W232" s="2" t="s">
        <v>68</v>
      </c>
      <c r="X232" s="2" t="s">
        <v>10</v>
      </c>
    </row>
    <row r="233" customFormat="false" ht="15" hidden="false" customHeight="false" outlineLevel="0" collapsed="false">
      <c r="A233" s="2" t="n">
        <v>221.04</v>
      </c>
      <c r="B233" s="2" t="n">
        <v>11.82</v>
      </c>
      <c r="C233" s="2" t="n">
        <v>0.079</v>
      </c>
      <c r="D233" s="2" t="n">
        <v>5.142</v>
      </c>
      <c r="E233" s="2" t="n">
        <v>0</v>
      </c>
      <c r="F233" s="2" t="n">
        <v>77</v>
      </c>
      <c r="G233" s="2" t="n">
        <v>400</v>
      </c>
      <c r="H233" s="2" t="n">
        <v>400</v>
      </c>
      <c r="I233" s="2" t="n">
        <v>400</v>
      </c>
      <c r="J233" s="2"/>
      <c r="K233" s="2" t="n">
        <v>1</v>
      </c>
      <c r="L233" s="2" t="n">
        <v>1</v>
      </c>
      <c r="M233" s="2" t="n">
        <v>0</v>
      </c>
      <c r="N233" s="2" t="n">
        <v>0</v>
      </c>
      <c r="O233" s="2" t="n">
        <v>0</v>
      </c>
      <c r="P233" s="2" t="n">
        <v>1</v>
      </c>
      <c r="Q233" s="2" t="n">
        <v>1</v>
      </c>
      <c r="R233" s="2" t="n">
        <v>0</v>
      </c>
      <c r="S233" s="2" t="n">
        <f aca="false">A234-A233</f>
        <v>0.200000000000017</v>
      </c>
      <c r="T233" s="2" t="n">
        <f aca="false">C233+Summary!$C$8*D233</f>
        <v>0.498073</v>
      </c>
      <c r="U233" s="2" t="n">
        <f aca="false">B233*T233</f>
        <v>5.88722286</v>
      </c>
      <c r="V233" s="2" t="n">
        <f aca="false">B233*C233</f>
        <v>0.93378</v>
      </c>
      <c r="W233" s="2" t="s">
        <v>68</v>
      </c>
      <c r="X233" s="2" t="s">
        <v>10</v>
      </c>
    </row>
    <row r="234" customFormat="false" ht="15" hidden="false" customHeight="false" outlineLevel="0" collapsed="false">
      <c r="A234" s="2" t="n">
        <v>221.24</v>
      </c>
      <c r="B234" s="2" t="n">
        <v>11.817</v>
      </c>
      <c r="C234" s="2" t="n">
        <v>0.09</v>
      </c>
      <c r="D234" s="2" t="n">
        <v>5.046</v>
      </c>
      <c r="E234" s="2" t="n">
        <v>0.013</v>
      </c>
      <c r="F234" s="2" t="n">
        <v>77</v>
      </c>
      <c r="G234" s="2" t="n">
        <v>400</v>
      </c>
      <c r="H234" s="2" t="n">
        <v>400</v>
      </c>
      <c r="I234" s="2" t="n">
        <v>19</v>
      </c>
      <c r="J234" s="2"/>
      <c r="K234" s="2" t="n">
        <v>1</v>
      </c>
      <c r="L234" s="2" t="n">
        <v>1</v>
      </c>
      <c r="M234" s="2" t="n">
        <v>0</v>
      </c>
      <c r="N234" s="2" t="n">
        <v>0</v>
      </c>
      <c r="O234" s="2" t="n">
        <v>0</v>
      </c>
      <c r="P234" s="2" t="n">
        <v>1</v>
      </c>
      <c r="Q234" s="2" t="n">
        <v>1</v>
      </c>
      <c r="R234" s="2" t="n">
        <v>0</v>
      </c>
      <c r="S234" s="2" t="n">
        <f aca="false">A235-A234</f>
        <v>0.199999999999989</v>
      </c>
      <c r="T234" s="2" t="n">
        <f aca="false">C234+Summary!$C$8*D234</f>
        <v>0.501249</v>
      </c>
      <c r="U234" s="2" t="n">
        <f aca="false">B234*T234</f>
        <v>5.923259433</v>
      </c>
      <c r="V234" s="2" t="n">
        <f aca="false">B234*C234</f>
        <v>1.06353</v>
      </c>
      <c r="W234" s="2" t="s">
        <v>68</v>
      </c>
      <c r="X234" s="2" t="s">
        <v>10</v>
      </c>
    </row>
    <row r="235" customFormat="false" ht="15" hidden="false" customHeight="false" outlineLevel="0" collapsed="false">
      <c r="A235" s="2" t="n">
        <v>221.44</v>
      </c>
      <c r="B235" s="2" t="n">
        <v>11.806</v>
      </c>
      <c r="C235" s="2" t="n">
        <v>0.08</v>
      </c>
      <c r="D235" s="2" t="n">
        <v>4.979</v>
      </c>
      <c r="E235" s="2" t="n">
        <v>0.027</v>
      </c>
      <c r="F235" s="2" t="n">
        <v>77</v>
      </c>
      <c r="G235" s="2" t="n">
        <v>400</v>
      </c>
      <c r="H235" s="2" t="n">
        <v>400</v>
      </c>
      <c r="I235" s="2" t="n">
        <v>28</v>
      </c>
      <c r="J235" s="2"/>
      <c r="K235" s="2" t="n">
        <v>1</v>
      </c>
      <c r="L235" s="2" t="n">
        <v>1</v>
      </c>
      <c r="M235" s="2" t="n">
        <v>0</v>
      </c>
      <c r="N235" s="2" t="n">
        <v>0</v>
      </c>
      <c r="O235" s="2" t="n">
        <v>0</v>
      </c>
      <c r="P235" s="2" t="n">
        <v>1</v>
      </c>
      <c r="Q235" s="2" t="n">
        <v>1</v>
      </c>
      <c r="R235" s="2" t="n">
        <v>0</v>
      </c>
      <c r="S235" s="2" t="n">
        <f aca="false">A236-A235</f>
        <v>0.199999999999989</v>
      </c>
      <c r="T235" s="2" t="n">
        <f aca="false">C235+Summary!$C$8*D235</f>
        <v>0.4857885</v>
      </c>
      <c r="U235" s="2" t="n">
        <f aca="false">B235*T235</f>
        <v>5.735219031</v>
      </c>
      <c r="V235" s="2" t="n">
        <f aca="false">B235*C235</f>
        <v>0.94448</v>
      </c>
      <c r="W235" s="2" t="s">
        <v>68</v>
      </c>
      <c r="X235" s="2" t="s">
        <v>10</v>
      </c>
    </row>
    <row r="236" customFormat="false" ht="15" hidden="false" customHeight="false" outlineLevel="0" collapsed="false">
      <c r="A236" s="2" t="n">
        <v>221.64</v>
      </c>
      <c r="B236" s="2" t="n">
        <v>11.81</v>
      </c>
      <c r="C236" s="2" t="n">
        <v>0.113</v>
      </c>
      <c r="D236" s="2" t="n">
        <v>5.03</v>
      </c>
      <c r="E236" s="2" t="n">
        <v>0.027</v>
      </c>
      <c r="F236" s="2" t="n">
        <v>77</v>
      </c>
      <c r="G236" s="2" t="n">
        <v>400</v>
      </c>
      <c r="H236" s="2" t="n">
        <v>400</v>
      </c>
      <c r="I236" s="2" t="n">
        <v>400</v>
      </c>
      <c r="J236" s="2"/>
      <c r="K236" s="2" t="n">
        <v>1</v>
      </c>
      <c r="L236" s="2" t="n">
        <v>1</v>
      </c>
      <c r="M236" s="2" t="n">
        <v>0</v>
      </c>
      <c r="N236" s="2" t="n">
        <v>0</v>
      </c>
      <c r="O236" s="2" t="n">
        <v>0</v>
      </c>
      <c r="P236" s="2" t="n">
        <v>1</v>
      </c>
      <c r="Q236" s="2" t="n">
        <v>1</v>
      </c>
      <c r="R236" s="2" t="n">
        <v>0</v>
      </c>
      <c r="S236" s="2" t="n">
        <f aca="false">A237-A236</f>
        <v>0.200000000000017</v>
      </c>
      <c r="T236" s="2" t="n">
        <f aca="false">C236+Summary!$C$8*D236</f>
        <v>0.522945</v>
      </c>
      <c r="U236" s="2" t="n">
        <f aca="false">B236*T236</f>
        <v>6.17598045</v>
      </c>
      <c r="V236" s="2" t="n">
        <f aca="false">B236*C236</f>
        <v>1.33453</v>
      </c>
      <c r="W236" s="2" t="s">
        <v>68</v>
      </c>
      <c r="X236" s="2" t="s">
        <v>10</v>
      </c>
    </row>
    <row r="237" customFormat="false" ht="15" hidden="false" customHeight="false" outlineLevel="0" collapsed="false">
      <c r="A237" s="2" t="n">
        <v>221.84</v>
      </c>
      <c r="B237" s="2" t="n">
        <v>11.897</v>
      </c>
      <c r="C237" s="2" t="n">
        <v>-0.156</v>
      </c>
      <c r="D237" s="2" t="n">
        <v>4.994</v>
      </c>
      <c r="E237" s="2" t="n">
        <v>0.118</v>
      </c>
      <c r="F237" s="2" t="n">
        <v>77</v>
      </c>
      <c r="G237" s="2" t="n">
        <v>23</v>
      </c>
      <c r="H237" s="2" t="n">
        <v>400</v>
      </c>
      <c r="I237" s="2" t="n">
        <v>400</v>
      </c>
      <c r="J237" s="2"/>
      <c r="K237" s="2" t="n">
        <v>1</v>
      </c>
      <c r="L237" s="2" t="n">
        <v>1</v>
      </c>
      <c r="M237" s="2" t="n">
        <v>0</v>
      </c>
      <c r="N237" s="2" t="n">
        <v>0</v>
      </c>
      <c r="O237" s="2" t="n">
        <v>0</v>
      </c>
      <c r="P237" s="2" t="n">
        <v>1</v>
      </c>
      <c r="Q237" s="2" t="n">
        <v>1</v>
      </c>
      <c r="R237" s="2" t="n">
        <v>0</v>
      </c>
      <c r="S237" s="2" t="n">
        <f aca="false">A238-A237</f>
        <v>0.199999999999989</v>
      </c>
      <c r="T237" s="2" t="n">
        <f aca="false">C237+Summary!$C$8*D237</f>
        <v>0.251011</v>
      </c>
      <c r="U237" s="2" t="n">
        <f aca="false">B237*T237</f>
        <v>2.986277867</v>
      </c>
      <c r="V237" s="2" t="n">
        <f aca="false">B237*C237</f>
        <v>-1.855932</v>
      </c>
      <c r="W237" s="2" t="s">
        <v>68</v>
      </c>
      <c r="X237" s="2" t="s">
        <v>10</v>
      </c>
    </row>
    <row r="238" customFormat="false" ht="15" hidden="false" customHeight="false" outlineLevel="0" collapsed="false">
      <c r="A238" s="2" t="n">
        <v>222.04</v>
      </c>
      <c r="B238" s="2" t="n">
        <v>11.917</v>
      </c>
      <c r="C238" s="2" t="n">
        <v>-0.181</v>
      </c>
      <c r="D238" s="2" t="n">
        <v>4.973</v>
      </c>
      <c r="E238" s="2" t="n">
        <v>0.118</v>
      </c>
      <c r="F238" s="2" t="n">
        <v>77</v>
      </c>
      <c r="G238" s="2" t="n">
        <v>400</v>
      </c>
      <c r="H238" s="2" t="n">
        <v>17</v>
      </c>
      <c r="I238" s="2" t="n">
        <v>39</v>
      </c>
      <c r="J238" s="2"/>
      <c r="K238" s="2" t="n">
        <v>1</v>
      </c>
      <c r="L238" s="2" t="n">
        <v>1</v>
      </c>
      <c r="M238" s="2" t="n">
        <v>0</v>
      </c>
      <c r="N238" s="2" t="n">
        <v>0</v>
      </c>
      <c r="O238" s="2" t="n">
        <v>0</v>
      </c>
      <c r="P238" s="2" t="n">
        <v>1</v>
      </c>
      <c r="Q238" s="2" t="n">
        <v>1</v>
      </c>
      <c r="R238" s="2" t="n">
        <v>0</v>
      </c>
      <c r="S238" s="2" t="n">
        <f aca="false">A239-A238</f>
        <v>0.210000000000008</v>
      </c>
      <c r="T238" s="2" t="n">
        <f aca="false">C238+Summary!$C$8*D238</f>
        <v>0.2242995</v>
      </c>
      <c r="U238" s="2" t="n">
        <f aca="false">B238*T238</f>
        <v>2.6729771415</v>
      </c>
      <c r="V238" s="2" t="n">
        <f aca="false">B238*C238</f>
        <v>-2.156977</v>
      </c>
      <c r="W238" s="2" t="s">
        <v>68</v>
      </c>
      <c r="X238" s="2" t="s">
        <v>10</v>
      </c>
    </row>
    <row r="239" customFormat="false" ht="15" hidden="false" customHeight="false" outlineLevel="0" collapsed="false">
      <c r="A239" s="2" t="n">
        <v>222.25</v>
      </c>
      <c r="B239" s="2" t="n">
        <v>11.924</v>
      </c>
      <c r="C239" s="2" t="n">
        <v>-0.199</v>
      </c>
      <c r="D239" s="2" t="n">
        <v>4.905</v>
      </c>
      <c r="E239" s="2" t="n">
        <v>0.027</v>
      </c>
      <c r="F239" s="2" t="n">
        <v>77</v>
      </c>
      <c r="G239" s="2" t="n">
        <v>400</v>
      </c>
      <c r="H239" s="2" t="n">
        <v>40</v>
      </c>
      <c r="I239" s="2" t="n">
        <v>30</v>
      </c>
      <c r="J239" s="2"/>
      <c r="K239" s="2" t="n">
        <v>1</v>
      </c>
      <c r="L239" s="2" t="n">
        <v>1</v>
      </c>
      <c r="M239" s="2" t="n">
        <v>0</v>
      </c>
      <c r="N239" s="2" t="n">
        <v>0</v>
      </c>
      <c r="O239" s="2" t="n">
        <v>0</v>
      </c>
      <c r="P239" s="2" t="n">
        <v>1</v>
      </c>
      <c r="Q239" s="2" t="n">
        <v>1</v>
      </c>
      <c r="R239" s="2" t="n">
        <v>0</v>
      </c>
      <c r="S239" s="2" t="n">
        <f aca="false">A240-A239</f>
        <v>0.199999999999989</v>
      </c>
      <c r="T239" s="2" t="n">
        <f aca="false">C239+Summary!$C$8*D239</f>
        <v>0.2007575</v>
      </c>
      <c r="U239" s="2" t="n">
        <f aca="false">B239*T239</f>
        <v>2.39383243</v>
      </c>
      <c r="V239" s="2" t="n">
        <f aca="false">B239*C239</f>
        <v>-2.372876</v>
      </c>
      <c r="W239" s="2" t="s">
        <v>68</v>
      </c>
      <c r="X239" s="2" t="s">
        <v>10</v>
      </c>
    </row>
    <row r="240" customFormat="false" ht="15" hidden="false" customHeight="false" outlineLevel="0" collapsed="false">
      <c r="A240" s="2" t="n">
        <v>222.45</v>
      </c>
      <c r="B240" s="2" t="n">
        <v>11.93</v>
      </c>
      <c r="C240" s="2" t="n">
        <v>-0.214</v>
      </c>
      <c r="D240" s="2" t="n">
        <v>4.881</v>
      </c>
      <c r="E240" s="2" t="n">
        <v>0</v>
      </c>
      <c r="F240" s="2" t="n">
        <v>77</v>
      </c>
      <c r="G240" s="2" t="n">
        <v>400</v>
      </c>
      <c r="H240" s="2" t="n">
        <v>400</v>
      </c>
      <c r="I240" s="2" t="n">
        <v>51</v>
      </c>
      <c r="J240" s="2"/>
      <c r="K240" s="2" t="n">
        <v>1</v>
      </c>
      <c r="L240" s="2" t="n">
        <v>1</v>
      </c>
      <c r="M240" s="2" t="n">
        <v>0</v>
      </c>
      <c r="N240" s="2" t="n">
        <v>0</v>
      </c>
      <c r="O240" s="2" t="n">
        <v>0</v>
      </c>
      <c r="P240" s="2" t="n">
        <v>1</v>
      </c>
      <c r="Q240" s="2" t="n">
        <v>1</v>
      </c>
      <c r="R240" s="2" t="n">
        <v>0</v>
      </c>
      <c r="S240" s="2" t="n">
        <f aca="false">A241-A240</f>
        <v>0.200000000000017</v>
      </c>
      <c r="T240" s="2" t="n">
        <f aca="false">C240+Summary!$C$8*D240</f>
        <v>0.1838015</v>
      </c>
      <c r="U240" s="2" t="n">
        <f aca="false">B240*T240</f>
        <v>2.192751895</v>
      </c>
      <c r="V240" s="2" t="n">
        <f aca="false">B240*C240</f>
        <v>-2.55302</v>
      </c>
      <c r="W240" s="2" t="s">
        <v>68</v>
      </c>
      <c r="X240" s="2" t="s">
        <v>10</v>
      </c>
    </row>
    <row r="241" customFormat="false" ht="15" hidden="false" customHeight="false" outlineLevel="0" collapsed="false">
      <c r="A241" s="2" t="n">
        <v>222.65</v>
      </c>
      <c r="B241" s="2" t="n">
        <v>11.955</v>
      </c>
      <c r="C241" s="2" t="n">
        <v>-0.286</v>
      </c>
      <c r="D241" s="2" t="n">
        <v>4.852</v>
      </c>
      <c r="E241" s="2" t="n">
        <v>0.027</v>
      </c>
      <c r="F241" s="2" t="n">
        <v>77</v>
      </c>
      <c r="G241" s="2" t="n">
        <v>400</v>
      </c>
      <c r="H241" s="2" t="n">
        <v>400</v>
      </c>
      <c r="I241" s="2" t="n">
        <v>52</v>
      </c>
      <c r="J241" s="2"/>
      <c r="K241" s="2" t="n">
        <v>1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1</v>
      </c>
      <c r="Q241" s="2" t="n">
        <v>1</v>
      </c>
      <c r="R241" s="2" t="n">
        <v>0</v>
      </c>
      <c r="S241" s="2" t="n">
        <f aca="false">A242-A241</f>
        <v>0.199999999999989</v>
      </c>
      <c r="T241" s="2" t="n">
        <f aca="false">C241+Summary!$C$8*D241</f>
        <v>0.109438</v>
      </c>
      <c r="U241" s="2" t="n">
        <f aca="false">B241*T241</f>
        <v>1.30833129</v>
      </c>
      <c r="V241" s="2" t="n">
        <f aca="false">B241*C241</f>
        <v>-3.41913</v>
      </c>
      <c r="W241" s="2" t="s">
        <v>68</v>
      </c>
      <c r="X241" s="2" t="s">
        <v>10</v>
      </c>
    </row>
    <row r="242" customFormat="false" ht="15" hidden="false" customHeight="false" outlineLevel="0" collapsed="false">
      <c r="A242" s="2" t="n">
        <v>222.85</v>
      </c>
      <c r="B242" s="2" t="n">
        <v>11.955</v>
      </c>
      <c r="C242" s="2" t="n">
        <v>-0.283</v>
      </c>
      <c r="D242" s="2" t="n">
        <v>4.836</v>
      </c>
      <c r="E242" s="2" t="n">
        <v>0.013</v>
      </c>
      <c r="F242" s="2" t="n">
        <v>77</v>
      </c>
      <c r="G242" s="2" t="n">
        <v>400</v>
      </c>
      <c r="H242" s="2" t="n">
        <v>400</v>
      </c>
      <c r="I242" s="2" t="n">
        <v>21</v>
      </c>
      <c r="J242" s="2"/>
      <c r="K242" s="2" t="n">
        <v>1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1</v>
      </c>
      <c r="Q242" s="2" t="n">
        <v>1</v>
      </c>
      <c r="R242" s="2" t="n">
        <v>0</v>
      </c>
      <c r="S242" s="2" t="n">
        <f aca="false">A243-A242</f>
        <v>0.200000000000017</v>
      </c>
      <c r="T242" s="2" t="n">
        <f aca="false">C242+Summary!$C$8*D242</f>
        <v>0.111134</v>
      </c>
      <c r="U242" s="2" t="n">
        <f aca="false">B242*T242</f>
        <v>1.32860697</v>
      </c>
      <c r="V242" s="2" t="n">
        <f aca="false">B242*C242</f>
        <v>-3.383265</v>
      </c>
      <c r="W242" s="2" t="s">
        <v>68</v>
      </c>
      <c r="X242" s="2" t="s">
        <v>10</v>
      </c>
    </row>
    <row r="243" customFormat="false" ht="15" hidden="false" customHeight="false" outlineLevel="0" collapsed="false">
      <c r="A243" s="2" t="n">
        <v>223.05</v>
      </c>
      <c r="B243" s="2" t="n">
        <v>11.952</v>
      </c>
      <c r="C243" s="2" t="n">
        <v>-0.278</v>
      </c>
      <c r="D243" s="2" t="n">
        <v>4.827</v>
      </c>
      <c r="E243" s="2" t="n">
        <v>0.013</v>
      </c>
      <c r="F243" s="2" t="n">
        <v>77</v>
      </c>
      <c r="G243" s="2" t="n">
        <v>400</v>
      </c>
      <c r="H243" s="2" t="n">
        <v>400</v>
      </c>
      <c r="I243" s="2" t="n">
        <v>18</v>
      </c>
      <c r="J243" s="2"/>
      <c r="K243" s="2" t="n">
        <v>1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1</v>
      </c>
      <c r="Q243" s="2" t="n">
        <v>1</v>
      </c>
      <c r="R243" s="2" t="n">
        <v>0</v>
      </c>
      <c r="S243" s="2" t="n">
        <f aca="false">A244-A243</f>
        <v>0.219999999999999</v>
      </c>
      <c r="T243" s="2" t="n">
        <f aca="false">C243+Summary!$C$8*D243</f>
        <v>0.1154005</v>
      </c>
      <c r="U243" s="2" t="n">
        <f aca="false">B243*T243</f>
        <v>1.379266776</v>
      </c>
      <c r="V243" s="2" t="n">
        <f aca="false">B243*C243</f>
        <v>-3.322656</v>
      </c>
    </row>
    <row r="244" customFormat="false" ht="15" hidden="false" customHeight="false" outlineLevel="0" collapsed="false">
      <c r="A244" s="2" t="n">
        <v>223.27</v>
      </c>
      <c r="B244" s="2" t="n">
        <v>11.921</v>
      </c>
      <c r="C244" s="2" t="n">
        <v>-0.18</v>
      </c>
      <c r="D244" s="2" t="n">
        <v>4.822</v>
      </c>
      <c r="E244" s="2" t="n">
        <v>0</v>
      </c>
      <c r="F244" s="2" t="n">
        <v>77</v>
      </c>
      <c r="G244" s="2" t="n">
        <v>400</v>
      </c>
      <c r="H244" s="2" t="n">
        <v>400</v>
      </c>
      <c r="I244" s="2" t="n">
        <v>18</v>
      </c>
      <c r="J244" s="2"/>
      <c r="K244" s="2" t="n">
        <v>1</v>
      </c>
      <c r="L244" s="2" t="n">
        <v>1</v>
      </c>
      <c r="M244" s="2" t="n">
        <v>0</v>
      </c>
      <c r="N244" s="2" t="n">
        <v>0</v>
      </c>
      <c r="O244" s="2" t="n">
        <v>0</v>
      </c>
      <c r="P244" s="2" t="n">
        <v>1</v>
      </c>
      <c r="Q244" s="2" t="n">
        <v>1</v>
      </c>
      <c r="R244" s="2" t="n">
        <v>0</v>
      </c>
      <c r="S244" s="2" t="n">
        <f aca="false">A245-A244</f>
        <v>0.189999999999998</v>
      </c>
      <c r="T244" s="2" t="n">
        <f aca="false">C244+Summary!$C$8*D244</f>
        <v>0.212993</v>
      </c>
      <c r="U244" s="2" t="n">
        <f aca="false">B244*T244</f>
        <v>2.539089553</v>
      </c>
      <c r="V244" s="2" t="n">
        <f aca="false">B244*C244</f>
        <v>-2.14578</v>
      </c>
      <c r="W244" s="2" t="s">
        <v>70</v>
      </c>
      <c r="X244" s="2" t="s">
        <v>10</v>
      </c>
    </row>
    <row r="245" customFormat="false" ht="15" hidden="false" customHeight="false" outlineLevel="0" collapsed="false">
      <c r="A245" s="2" t="n">
        <v>223.46</v>
      </c>
      <c r="B245" s="2" t="n">
        <v>11.55</v>
      </c>
      <c r="C245" s="2" t="n">
        <v>0.877</v>
      </c>
      <c r="D245" s="2" t="n">
        <v>4.656</v>
      </c>
      <c r="E245" s="2" t="n">
        <v>0</v>
      </c>
      <c r="F245" s="2" t="n">
        <v>77</v>
      </c>
      <c r="G245" s="2" t="n">
        <v>400</v>
      </c>
      <c r="H245" s="2" t="n">
        <v>400</v>
      </c>
      <c r="I245" s="2" t="n">
        <v>400</v>
      </c>
      <c r="J245" s="2"/>
      <c r="K245" s="2" t="n">
        <v>1</v>
      </c>
      <c r="L245" s="2" t="n">
        <v>1</v>
      </c>
      <c r="M245" s="2" t="n">
        <v>0</v>
      </c>
      <c r="N245" s="2" t="n">
        <v>0</v>
      </c>
      <c r="O245" s="2" t="n">
        <v>0</v>
      </c>
      <c r="P245" s="2" t="n">
        <v>1</v>
      </c>
      <c r="Q245" s="2" t="n">
        <v>1</v>
      </c>
      <c r="R245" s="2" t="n">
        <v>0</v>
      </c>
      <c r="S245" s="2" t="n">
        <f aca="false">A246-A245</f>
        <v>0.199999999999989</v>
      </c>
      <c r="T245" s="2" t="n">
        <f aca="false">C245+Summary!$C$8*D245</f>
        <v>1.256464</v>
      </c>
      <c r="U245" s="2" t="n">
        <f aca="false">B245*T245</f>
        <v>14.5121592</v>
      </c>
      <c r="V245" s="2" t="n">
        <f aca="false">B245*C245</f>
        <v>10.12935</v>
      </c>
      <c r="W245" s="2" t="s">
        <v>70</v>
      </c>
      <c r="X245" s="2" t="s">
        <v>10</v>
      </c>
    </row>
    <row r="246" customFormat="false" ht="15" hidden="false" customHeight="false" outlineLevel="0" collapsed="false">
      <c r="A246" s="2" t="n">
        <v>223.66</v>
      </c>
      <c r="B246" s="2" t="n">
        <v>11.77</v>
      </c>
      <c r="C246" s="2" t="n">
        <v>0.312</v>
      </c>
      <c r="D246" s="2" t="n">
        <v>4.539</v>
      </c>
      <c r="E246" s="2" t="n">
        <v>0.122</v>
      </c>
      <c r="F246" s="2" t="n">
        <v>77</v>
      </c>
      <c r="G246" s="2" t="n">
        <v>400</v>
      </c>
      <c r="H246" s="2" t="n">
        <v>30</v>
      </c>
      <c r="I246" s="2" t="n">
        <v>400</v>
      </c>
      <c r="J246" s="2"/>
      <c r="K246" s="2" t="n">
        <v>1</v>
      </c>
      <c r="L246" s="2" t="n">
        <v>1</v>
      </c>
      <c r="M246" s="2" t="n">
        <v>0</v>
      </c>
      <c r="N246" s="2" t="n">
        <v>0</v>
      </c>
      <c r="O246" s="2" t="n">
        <v>0</v>
      </c>
      <c r="P246" s="2" t="n">
        <v>1</v>
      </c>
      <c r="Q246" s="2" t="n">
        <v>1</v>
      </c>
      <c r="R246" s="2" t="n">
        <v>0</v>
      </c>
      <c r="S246" s="2" t="n">
        <f aca="false">A247-A246</f>
        <v>0.200000000000017</v>
      </c>
      <c r="T246" s="2" t="n">
        <f aca="false">C246+Summary!$C$8*D246</f>
        <v>0.6819285</v>
      </c>
      <c r="U246" s="2" t="n">
        <f aca="false">B246*T246</f>
        <v>8.026298445</v>
      </c>
      <c r="V246" s="2" t="n">
        <f aca="false">B246*C246</f>
        <v>3.67224</v>
      </c>
      <c r="W246" s="2" t="s">
        <v>70</v>
      </c>
      <c r="X246" s="2" t="s">
        <v>10</v>
      </c>
    </row>
    <row r="247" customFormat="false" ht="15" hidden="false" customHeight="false" outlineLevel="0" collapsed="false">
      <c r="A247" s="2" t="n">
        <v>223.86</v>
      </c>
      <c r="B247" s="2" t="n">
        <v>11.783</v>
      </c>
      <c r="C247" s="2" t="n">
        <v>0.22</v>
      </c>
      <c r="D247" s="2" t="n">
        <v>4.539</v>
      </c>
      <c r="E247" s="2" t="n">
        <v>0.217</v>
      </c>
      <c r="F247" s="2" t="n">
        <v>77</v>
      </c>
      <c r="G247" s="2" t="n">
        <v>400</v>
      </c>
      <c r="H247" s="2" t="n">
        <v>400</v>
      </c>
      <c r="I247" s="2" t="n">
        <v>318</v>
      </c>
      <c r="J247" s="2"/>
      <c r="K247" s="2" t="n">
        <v>1</v>
      </c>
      <c r="L247" s="2" t="n">
        <v>1</v>
      </c>
      <c r="M247" s="2" t="n">
        <v>0</v>
      </c>
      <c r="N247" s="2" t="n">
        <v>0</v>
      </c>
      <c r="O247" s="2" t="n">
        <v>0</v>
      </c>
      <c r="P247" s="2" t="n">
        <v>1</v>
      </c>
      <c r="Q247" s="2" t="n">
        <v>1</v>
      </c>
      <c r="R247" s="2" t="n">
        <v>0</v>
      </c>
      <c r="S247" s="2" t="n">
        <f aca="false">A248-A247</f>
        <v>0.199999999999989</v>
      </c>
      <c r="T247" s="2" t="n">
        <f aca="false">C247+Summary!$C$8*D247</f>
        <v>0.5899285</v>
      </c>
      <c r="U247" s="2" t="n">
        <f aca="false">B247*T247</f>
        <v>6.9511275155</v>
      </c>
      <c r="V247" s="2" t="n">
        <f aca="false">B247*C247</f>
        <v>2.59226</v>
      </c>
      <c r="W247" s="2" t="s">
        <v>70</v>
      </c>
      <c r="X247" s="2" t="s">
        <v>10</v>
      </c>
    </row>
    <row r="248" customFormat="false" ht="15" hidden="false" customHeight="false" outlineLevel="0" collapsed="false">
      <c r="A248" s="2" t="n">
        <v>224.06</v>
      </c>
      <c r="B248" s="2" t="n">
        <v>11.813</v>
      </c>
      <c r="C248" s="2" t="n">
        <v>0.096</v>
      </c>
      <c r="D248" s="2" t="n">
        <v>4.544</v>
      </c>
      <c r="E248" s="2" t="n">
        <v>0.217</v>
      </c>
      <c r="F248" s="2" t="n">
        <v>77</v>
      </c>
      <c r="G248" s="2" t="n">
        <v>400</v>
      </c>
      <c r="H248" s="2" t="n">
        <v>26</v>
      </c>
      <c r="I248" s="2" t="n">
        <v>19</v>
      </c>
      <c r="J248" s="2"/>
      <c r="K248" s="2" t="n">
        <v>1</v>
      </c>
      <c r="L248" s="2" t="n">
        <v>1</v>
      </c>
      <c r="M248" s="2" t="n">
        <v>0</v>
      </c>
      <c r="N248" s="2" t="n">
        <v>0</v>
      </c>
      <c r="O248" s="2" t="n">
        <v>0</v>
      </c>
      <c r="P248" s="2" t="n">
        <v>1</v>
      </c>
      <c r="Q248" s="2" t="n">
        <v>1</v>
      </c>
      <c r="R248" s="2" t="n">
        <v>0</v>
      </c>
      <c r="S248" s="2" t="n">
        <f aca="false">A249-A248</f>
        <v>0.199999999999989</v>
      </c>
      <c r="T248" s="2" t="n">
        <f aca="false">C248+Summary!$C$8*D248</f>
        <v>0.466336</v>
      </c>
      <c r="U248" s="2" t="n">
        <f aca="false">B248*T248</f>
        <v>5.508827168</v>
      </c>
      <c r="V248" s="2" t="n">
        <f aca="false">B248*C248</f>
        <v>1.134048</v>
      </c>
      <c r="W248" s="2" t="s">
        <v>70</v>
      </c>
      <c r="X248" s="2" t="s">
        <v>10</v>
      </c>
    </row>
    <row r="249" customFormat="false" ht="15" hidden="false" customHeight="false" outlineLevel="0" collapsed="false">
      <c r="A249" s="2" t="n">
        <v>224.26</v>
      </c>
      <c r="B249" s="2" t="n">
        <v>11.811</v>
      </c>
      <c r="C249" s="2" t="n">
        <v>0.171</v>
      </c>
      <c r="D249" s="2" t="n">
        <v>4.26</v>
      </c>
      <c r="E249" s="2" t="n">
        <v>0.19</v>
      </c>
      <c r="F249" s="2" t="n">
        <v>77</v>
      </c>
      <c r="G249" s="2" t="n">
        <v>400</v>
      </c>
      <c r="H249" s="2" t="n">
        <v>21</v>
      </c>
      <c r="I249" s="2" t="n">
        <v>400</v>
      </c>
      <c r="J249" s="2"/>
      <c r="K249" s="2" t="n">
        <v>1</v>
      </c>
      <c r="L249" s="2" t="n">
        <v>1</v>
      </c>
      <c r="M249" s="2" t="n">
        <v>0</v>
      </c>
      <c r="N249" s="2" t="n">
        <v>0</v>
      </c>
      <c r="O249" s="2" t="n">
        <v>0</v>
      </c>
      <c r="P249" s="2" t="n">
        <v>1</v>
      </c>
      <c r="Q249" s="2" t="n">
        <v>1</v>
      </c>
      <c r="R249" s="2" t="n">
        <v>0</v>
      </c>
      <c r="S249" s="2" t="n">
        <f aca="false">A250-A249</f>
        <v>0.200000000000017</v>
      </c>
      <c r="T249" s="2" t="n">
        <f aca="false">C249+Summary!$C$8*D249</f>
        <v>0.51819</v>
      </c>
      <c r="U249" s="2" t="n">
        <f aca="false">B249*T249</f>
        <v>6.12034209</v>
      </c>
      <c r="V249" s="2" t="n">
        <f aca="false">B249*C249</f>
        <v>2.019681</v>
      </c>
      <c r="W249" s="2" t="s">
        <v>70</v>
      </c>
      <c r="X249" s="2" t="s">
        <v>10</v>
      </c>
    </row>
    <row r="250" customFormat="false" ht="15" hidden="false" customHeight="false" outlineLevel="0" collapsed="false">
      <c r="A250" s="2" t="n">
        <v>224.46</v>
      </c>
      <c r="B250" s="2" t="n">
        <v>11.796</v>
      </c>
      <c r="C250" s="2" t="n">
        <v>0.189</v>
      </c>
      <c r="D250" s="2" t="n">
        <v>4.254</v>
      </c>
      <c r="E250" s="2" t="n">
        <v>0.176</v>
      </c>
      <c r="F250" s="2" t="n">
        <v>77</v>
      </c>
      <c r="G250" s="2" t="n">
        <v>400</v>
      </c>
      <c r="H250" s="2" t="n">
        <v>31</v>
      </c>
      <c r="I250" s="2" t="n">
        <v>400</v>
      </c>
      <c r="J250" s="2"/>
      <c r="K250" s="2" t="n">
        <v>1</v>
      </c>
      <c r="L250" s="2" t="n">
        <v>1</v>
      </c>
      <c r="M250" s="2" t="n">
        <v>0</v>
      </c>
      <c r="N250" s="2" t="n">
        <v>0</v>
      </c>
      <c r="O250" s="2" t="n">
        <v>0</v>
      </c>
      <c r="P250" s="2" t="n">
        <v>1</v>
      </c>
      <c r="Q250" s="2" t="n">
        <v>1</v>
      </c>
      <c r="R250" s="2" t="n">
        <v>0</v>
      </c>
      <c r="S250" s="2" t="n">
        <f aca="false">A251-A250</f>
        <v>0.199999999999989</v>
      </c>
      <c r="T250" s="2" t="n">
        <f aca="false">C250+Summary!$C$8*D250</f>
        <v>0.535701</v>
      </c>
      <c r="U250" s="2" t="n">
        <f aca="false">B250*T250</f>
        <v>6.319128996</v>
      </c>
      <c r="V250" s="2" t="n">
        <f aca="false">B250*C250</f>
        <v>2.229444</v>
      </c>
      <c r="W250" s="2" t="s">
        <v>70</v>
      </c>
      <c r="X250" s="2" t="s">
        <v>10</v>
      </c>
    </row>
    <row r="251" customFormat="false" ht="15" hidden="false" customHeight="false" outlineLevel="0" collapsed="false">
      <c r="A251" s="2" t="n">
        <v>224.66</v>
      </c>
      <c r="B251" s="2" t="n">
        <v>11.804</v>
      </c>
      <c r="C251" s="2" t="n">
        <v>0.124</v>
      </c>
      <c r="D251" s="2" t="n">
        <v>4.273</v>
      </c>
      <c r="E251" s="2" t="n">
        <v>0.19</v>
      </c>
      <c r="F251" s="2" t="n">
        <v>77</v>
      </c>
      <c r="G251" s="2" t="n">
        <v>400</v>
      </c>
      <c r="H251" s="2" t="n">
        <v>30</v>
      </c>
      <c r="I251" s="2" t="n">
        <v>400</v>
      </c>
      <c r="J251" s="2"/>
      <c r="K251" s="2" t="n">
        <v>1</v>
      </c>
      <c r="L251" s="2" t="n">
        <v>1</v>
      </c>
      <c r="M251" s="2" t="n">
        <v>0</v>
      </c>
      <c r="N251" s="2" t="n">
        <v>0</v>
      </c>
      <c r="O251" s="2" t="n">
        <v>0</v>
      </c>
      <c r="P251" s="2" t="n">
        <v>1</v>
      </c>
      <c r="Q251" s="2" t="n">
        <v>1</v>
      </c>
      <c r="R251" s="2" t="n">
        <v>0</v>
      </c>
      <c r="S251" s="2" t="n">
        <f aca="false">A252-A251</f>
        <v>0.200000000000017</v>
      </c>
      <c r="T251" s="2" t="n">
        <f aca="false">C251+Summary!$C$8*D251</f>
        <v>0.4722495</v>
      </c>
      <c r="U251" s="2" t="n">
        <f aca="false">B251*T251</f>
        <v>5.574433098</v>
      </c>
      <c r="V251" s="2" t="n">
        <f aca="false">B251*C251</f>
        <v>1.463696</v>
      </c>
      <c r="W251" s="2" t="s">
        <v>70</v>
      </c>
      <c r="X251" s="2" t="s">
        <v>10</v>
      </c>
    </row>
    <row r="252" customFormat="false" ht="15" hidden="false" customHeight="false" outlineLevel="0" collapsed="false">
      <c r="A252" s="2" t="n">
        <v>224.86</v>
      </c>
      <c r="B252" s="2" t="n">
        <v>11.911</v>
      </c>
      <c r="C252" s="2" t="n">
        <v>-0.161</v>
      </c>
      <c r="D252" s="2" t="n">
        <v>4.249</v>
      </c>
      <c r="E252" s="2" t="n">
        <v>0.19</v>
      </c>
      <c r="F252" s="2" t="n">
        <v>77</v>
      </c>
      <c r="G252" s="2" t="n">
        <v>400</v>
      </c>
      <c r="H252" s="2" t="n">
        <v>19</v>
      </c>
      <c r="I252" s="2" t="n">
        <v>253</v>
      </c>
      <c r="J252" s="2"/>
      <c r="K252" s="2" t="n">
        <v>1</v>
      </c>
      <c r="L252" s="2" t="n">
        <v>1</v>
      </c>
      <c r="M252" s="2" t="n">
        <v>0</v>
      </c>
      <c r="N252" s="2" t="n">
        <v>0</v>
      </c>
      <c r="O252" s="2" t="n">
        <v>0</v>
      </c>
      <c r="P252" s="2" t="n">
        <v>1</v>
      </c>
      <c r="Q252" s="2" t="n">
        <v>1</v>
      </c>
      <c r="R252" s="2" t="n">
        <v>0</v>
      </c>
      <c r="S252" s="2" t="n">
        <f aca="false">A253-A252</f>
        <v>0.199999999999989</v>
      </c>
      <c r="T252" s="2" t="n">
        <f aca="false">C252+Summary!$C$8*D252</f>
        <v>0.1852935</v>
      </c>
      <c r="U252" s="2" t="n">
        <f aca="false">B252*T252</f>
        <v>2.2070308785</v>
      </c>
      <c r="V252" s="2" t="n">
        <f aca="false">B252*C252</f>
        <v>-1.917671</v>
      </c>
      <c r="W252" s="2" t="s">
        <v>70</v>
      </c>
      <c r="X252" s="2" t="s">
        <v>10</v>
      </c>
    </row>
    <row r="253" customFormat="false" ht="15" hidden="false" customHeight="false" outlineLevel="0" collapsed="false">
      <c r="A253" s="2" t="n">
        <v>225.06</v>
      </c>
      <c r="B253" s="2" t="n">
        <v>11.934</v>
      </c>
      <c r="C253" s="2" t="n">
        <v>-0.225</v>
      </c>
      <c r="D253" s="2" t="n">
        <v>4.213</v>
      </c>
      <c r="E253" s="2" t="n">
        <v>0.19</v>
      </c>
      <c r="F253" s="2" t="n">
        <v>77</v>
      </c>
      <c r="G253" s="2" t="n">
        <v>400</v>
      </c>
      <c r="H253" s="2" t="n">
        <v>24</v>
      </c>
      <c r="I253" s="2" t="n">
        <v>244</v>
      </c>
      <c r="J253" s="2"/>
      <c r="K253" s="2" t="n">
        <v>1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1</v>
      </c>
      <c r="Q253" s="2" t="n">
        <v>1</v>
      </c>
      <c r="R253" s="2" t="n">
        <v>0</v>
      </c>
      <c r="S253" s="2" t="n">
        <f aca="false">A254-A253</f>
        <v>0.199999999999989</v>
      </c>
      <c r="T253" s="2" t="n">
        <f aca="false">C253+Summary!$C$8*D253</f>
        <v>0.1183595</v>
      </c>
      <c r="U253" s="2" t="n">
        <f aca="false">B253*T253</f>
        <v>1.412502273</v>
      </c>
      <c r="V253" s="2" t="n">
        <f aca="false">B253*C253</f>
        <v>-2.68515</v>
      </c>
      <c r="W253" s="2" t="s">
        <v>70</v>
      </c>
      <c r="X253" s="2" t="s">
        <v>10</v>
      </c>
    </row>
    <row r="254" customFormat="false" ht="15" hidden="false" customHeight="false" outlineLevel="0" collapsed="false">
      <c r="A254" s="2" t="n">
        <v>225.26</v>
      </c>
      <c r="B254" s="2" t="n">
        <v>11.932</v>
      </c>
      <c r="C254" s="2" t="n">
        <v>-0.233</v>
      </c>
      <c r="D254" s="2" t="n">
        <v>4.205</v>
      </c>
      <c r="E254" s="2" t="n">
        <v>0.149</v>
      </c>
      <c r="F254" s="2" t="n">
        <v>77</v>
      </c>
      <c r="G254" s="2" t="n">
        <v>400</v>
      </c>
      <c r="H254" s="2" t="n">
        <v>18</v>
      </c>
      <c r="I254" s="2" t="n">
        <v>239</v>
      </c>
      <c r="J254" s="2"/>
      <c r="K254" s="2" t="n">
        <v>1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1</v>
      </c>
      <c r="Q254" s="2" t="n">
        <v>1</v>
      </c>
      <c r="R254" s="2" t="n">
        <v>0</v>
      </c>
      <c r="S254" s="2" t="n">
        <f aca="false">A255-A254</f>
        <v>0.200000000000017</v>
      </c>
      <c r="T254" s="2" t="n">
        <f aca="false">C254+Summary!$C$8*D254</f>
        <v>0.1097075</v>
      </c>
      <c r="U254" s="2" t="n">
        <f aca="false">B254*T254</f>
        <v>1.30902989</v>
      </c>
      <c r="V254" s="2" t="n">
        <f aca="false">B254*C254</f>
        <v>-2.780156</v>
      </c>
      <c r="W254" s="2" t="s">
        <v>70</v>
      </c>
      <c r="X254" s="2" t="s">
        <v>10</v>
      </c>
    </row>
    <row r="255" customFormat="false" ht="15" hidden="false" customHeight="false" outlineLevel="0" collapsed="false">
      <c r="A255" s="2" t="n">
        <v>225.46</v>
      </c>
      <c r="B255" s="2" t="n">
        <v>11.932</v>
      </c>
      <c r="C255" s="2" t="n">
        <v>-0.228</v>
      </c>
      <c r="D255" s="2" t="n">
        <v>4.159</v>
      </c>
      <c r="E255" s="2" t="n">
        <v>0.027</v>
      </c>
      <c r="F255" s="2" t="n">
        <v>77</v>
      </c>
      <c r="G255" s="2" t="n">
        <v>400</v>
      </c>
      <c r="H255" s="2" t="n">
        <v>24</v>
      </c>
      <c r="I255" s="2" t="n">
        <v>236</v>
      </c>
      <c r="J255" s="2"/>
      <c r="K255" s="2" t="n">
        <v>1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1</v>
      </c>
      <c r="Q255" s="2" t="n">
        <v>1</v>
      </c>
      <c r="R255" s="2" t="n">
        <v>0</v>
      </c>
      <c r="S255" s="2" t="n">
        <f aca="false">A256-A255</f>
        <v>0.199999999999989</v>
      </c>
      <c r="T255" s="2" t="n">
        <f aca="false">C255+Summary!$C$8*D255</f>
        <v>0.1109585</v>
      </c>
      <c r="U255" s="2" t="n">
        <f aca="false">B255*T255</f>
        <v>1.323956822</v>
      </c>
      <c r="V255" s="2" t="n">
        <f aca="false">B255*C255</f>
        <v>-2.720496</v>
      </c>
      <c r="W255" s="2" t="s">
        <v>70</v>
      </c>
      <c r="X255" s="2" t="s">
        <v>10</v>
      </c>
    </row>
    <row r="256" customFormat="false" ht="15" hidden="false" customHeight="false" outlineLevel="0" collapsed="false">
      <c r="A256" s="2" t="n">
        <v>225.66</v>
      </c>
      <c r="B256" s="2" t="n">
        <v>11.933</v>
      </c>
      <c r="C256" s="2" t="n">
        <v>-0.226</v>
      </c>
      <c r="D256" s="2" t="n">
        <v>4.152</v>
      </c>
      <c r="E256" s="2" t="n">
        <v>0</v>
      </c>
      <c r="F256" s="2" t="n">
        <v>77</v>
      </c>
      <c r="G256" s="2" t="n">
        <v>400</v>
      </c>
      <c r="H256" s="2" t="n">
        <v>23</v>
      </c>
      <c r="I256" s="2" t="n">
        <v>235</v>
      </c>
      <c r="J256" s="2"/>
      <c r="K256" s="2" t="n">
        <v>1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1</v>
      </c>
      <c r="Q256" s="2" t="n">
        <v>1</v>
      </c>
      <c r="R256" s="2" t="n">
        <v>0</v>
      </c>
      <c r="S256" s="2" t="n">
        <f aca="false">A257-A256</f>
        <v>0.200000000000017</v>
      </c>
      <c r="T256" s="2" t="n">
        <f aca="false">C256+Summary!$C$8*D256</f>
        <v>0.112388</v>
      </c>
      <c r="U256" s="2" t="n">
        <f aca="false">B256*T256</f>
        <v>1.341126004</v>
      </c>
      <c r="V256" s="2" t="n">
        <f aca="false">B256*C256</f>
        <v>-2.696858</v>
      </c>
      <c r="W256" s="2" t="s">
        <v>70</v>
      </c>
      <c r="X256" s="2" t="s">
        <v>10</v>
      </c>
    </row>
    <row r="257" customFormat="false" ht="15" hidden="false" customHeight="false" outlineLevel="0" collapsed="false">
      <c r="A257" s="2" t="n">
        <v>225.86</v>
      </c>
      <c r="B257" s="2" t="n">
        <v>11.526</v>
      </c>
      <c r="C257" s="2" t="n">
        <v>0.985</v>
      </c>
      <c r="D257" s="2" t="n">
        <v>3.945</v>
      </c>
      <c r="E257" s="2" t="n">
        <v>0.013</v>
      </c>
      <c r="F257" s="2" t="n">
        <v>77</v>
      </c>
      <c r="G257" s="2" t="n">
        <v>400</v>
      </c>
      <c r="H257" s="2" t="n">
        <v>24</v>
      </c>
      <c r="I257" s="2" t="n">
        <v>235</v>
      </c>
      <c r="J257" s="2"/>
      <c r="K257" s="2" t="n">
        <v>1</v>
      </c>
      <c r="L257" s="2" t="n">
        <v>1</v>
      </c>
      <c r="M257" s="2" t="n">
        <v>0</v>
      </c>
      <c r="N257" s="2" t="n">
        <v>0</v>
      </c>
      <c r="O257" s="2" t="n">
        <v>0</v>
      </c>
      <c r="P257" s="2" t="n">
        <v>1</v>
      </c>
      <c r="Q257" s="2" t="n">
        <v>1</v>
      </c>
      <c r="R257" s="2" t="n">
        <v>0</v>
      </c>
      <c r="S257" s="2" t="n">
        <f aca="false">A258-A257</f>
        <v>0.199999999999989</v>
      </c>
      <c r="T257" s="2" t="n">
        <f aca="false">C257+Summary!$C$8*D257</f>
        <v>1.3065175</v>
      </c>
      <c r="U257" s="2" t="n">
        <f aca="false">B257*T257</f>
        <v>15.058920705</v>
      </c>
      <c r="V257" s="2" t="n">
        <f aca="false">B257*C257</f>
        <v>11.35311</v>
      </c>
      <c r="W257" s="2" t="s">
        <v>71</v>
      </c>
      <c r="X257" s="2" t="s">
        <v>10</v>
      </c>
    </row>
    <row r="258" customFormat="false" ht="15" hidden="false" customHeight="false" outlineLevel="0" collapsed="false">
      <c r="A258" s="2" t="n">
        <v>226.06</v>
      </c>
      <c r="B258" s="2" t="n">
        <v>11.692</v>
      </c>
      <c r="C258" s="2" t="n">
        <v>0.475</v>
      </c>
      <c r="D258" s="2" t="n">
        <v>3.834</v>
      </c>
      <c r="E258" s="2" t="n">
        <v>0.013</v>
      </c>
      <c r="F258" s="2" t="n">
        <v>77</v>
      </c>
      <c r="G258" s="2" t="n">
        <v>400</v>
      </c>
      <c r="H258" s="2" t="n">
        <v>400</v>
      </c>
      <c r="I258" s="2" t="n">
        <v>228</v>
      </c>
      <c r="J258" s="2"/>
      <c r="K258" s="2" t="n">
        <v>1</v>
      </c>
      <c r="L258" s="2" t="n">
        <v>1</v>
      </c>
      <c r="M258" s="2" t="n">
        <v>0</v>
      </c>
      <c r="N258" s="2" t="n">
        <v>0</v>
      </c>
      <c r="O258" s="2" t="n">
        <v>0</v>
      </c>
      <c r="P258" s="2" t="n">
        <v>1</v>
      </c>
      <c r="Q258" s="2" t="n">
        <v>1</v>
      </c>
      <c r="R258" s="2" t="n">
        <v>0</v>
      </c>
      <c r="S258" s="2" t="n">
        <f aca="false">A259-A258</f>
        <v>0.199999999999989</v>
      </c>
      <c r="T258" s="2" t="n">
        <f aca="false">C258+Summary!$C$8*D258</f>
        <v>0.787471</v>
      </c>
      <c r="U258" s="2" t="n">
        <f aca="false">B258*T258</f>
        <v>9.207110932</v>
      </c>
      <c r="V258" s="2" t="n">
        <f aca="false">B258*C258</f>
        <v>5.5537</v>
      </c>
      <c r="W258" s="2" t="s">
        <v>71</v>
      </c>
      <c r="X258" s="2" t="s">
        <v>10</v>
      </c>
    </row>
    <row r="259" customFormat="false" ht="15" hidden="false" customHeight="false" outlineLevel="0" collapsed="false">
      <c r="A259" s="2" t="n">
        <v>226.26</v>
      </c>
      <c r="B259" s="2" t="n">
        <v>11.762</v>
      </c>
      <c r="C259" s="2" t="n">
        <v>0.299</v>
      </c>
      <c r="D259" s="2" t="n">
        <v>3.833</v>
      </c>
      <c r="E259" s="2" t="n">
        <v>0.258</v>
      </c>
      <c r="F259" s="2" t="n">
        <v>77</v>
      </c>
      <c r="G259" s="2" t="n">
        <v>400</v>
      </c>
      <c r="H259" s="2" t="n">
        <v>400</v>
      </c>
      <c r="I259" s="2" t="n">
        <v>59</v>
      </c>
      <c r="J259" s="2"/>
      <c r="K259" s="2" t="n">
        <v>1</v>
      </c>
      <c r="L259" s="2" t="n">
        <v>1</v>
      </c>
      <c r="M259" s="2" t="n">
        <v>0</v>
      </c>
      <c r="N259" s="2" t="n">
        <v>0</v>
      </c>
      <c r="O259" s="2" t="n">
        <v>0</v>
      </c>
      <c r="P259" s="2" t="n">
        <v>1</v>
      </c>
      <c r="Q259" s="2" t="n">
        <v>1</v>
      </c>
      <c r="R259" s="2" t="n">
        <v>0</v>
      </c>
      <c r="S259" s="2" t="n">
        <f aca="false">A260-A259</f>
        <v>0.200000000000017</v>
      </c>
      <c r="T259" s="2" t="n">
        <f aca="false">C259+Summary!$C$8*D259</f>
        <v>0.6113895</v>
      </c>
      <c r="U259" s="2" t="n">
        <f aca="false">B259*T259</f>
        <v>7.191163299</v>
      </c>
      <c r="V259" s="2" t="n">
        <f aca="false">B259*C259</f>
        <v>3.516838</v>
      </c>
      <c r="W259" s="2" t="s">
        <v>71</v>
      </c>
      <c r="X259" s="2" t="s">
        <v>10</v>
      </c>
    </row>
    <row r="260" customFormat="false" ht="15" hidden="false" customHeight="false" outlineLevel="0" collapsed="false">
      <c r="A260" s="2" t="n">
        <v>226.46</v>
      </c>
      <c r="B260" s="2" t="n">
        <v>11.793</v>
      </c>
      <c r="C260" s="2" t="n">
        <v>0.178</v>
      </c>
      <c r="D260" s="2" t="n">
        <v>3.906</v>
      </c>
      <c r="E260" s="2" t="n">
        <v>0.231</v>
      </c>
      <c r="F260" s="2" t="n">
        <v>77</v>
      </c>
      <c r="G260" s="2" t="n">
        <v>400</v>
      </c>
      <c r="H260" s="2" t="n">
        <v>400</v>
      </c>
      <c r="I260" s="2" t="n">
        <v>207</v>
      </c>
      <c r="J260" s="2"/>
      <c r="K260" s="2" t="n">
        <v>1</v>
      </c>
      <c r="L260" s="2" t="n">
        <v>1</v>
      </c>
      <c r="M260" s="2" t="n">
        <v>0</v>
      </c>
      <c r="N260" s="2" t="n">
        <v>0</v>
      </c>
      <c r="O260" s="2" t="n">
        <v>0</v>
      </c>
      <c r="P260" s="2" t="n">
        <v>1</v>
      </c>
      <c r="Q260" s="2" t="n">
        <v>1</v>
      </c>
      <c r="R260" s="2" t="n">
        <v>0</v>
      </c>
      <c r="S260" s="2" t="n">
        <f aca="false">A261-A260</f>
        <v>0.199999999999989</v>
      </c>
      <c r="T260" s="2" t="n">
        <f aca="false">C260+Summary!$C$8*D260</f>
        <v>0.496339</v>
      </c>
      <c r="U260" s="2" t="n">
        <f aca="false">B260*T260</f>
        <v>5.853325827</v>
      </c>
      <c r="V260" s="2" t="n">
        <f aca="false">B260*C260</f>
        <v>2.099154</v>
      </c>
      <c r="W260" s="2" t="s">
        <v>71</v>
      </c>
      <c r="X260" s="2" t="s">
        <v>10</v>
      </c>
    </row>
    <row r="261" customFormat="false" ht="15" hidden="false" customHeight="false" outlineLevel="0" collapsed="false">
      <c r="A261" s="2" t="n">
        <v>226.66</v>
      </c>
      <c r="B261" s="2" t="n">
        <v>11.788</v>
      </c>
      <c r="C261" s="2" t="n">
        <v>0.177</v>
      </c>
      <c r="D261" s="2" t="n">
        <v>3.701</v>
      </c>
      <c r="E261" s="2" t="n">
        <v>0.258</v>
      </c>
      <c r="F261" s="2" t="n">
        <v>77</v>
      </c>
      <c r="G261" s="2" t="n">
        <v>400</v>
      </c>
      <c r="H261" s="2" t="n">
        <v>400</v>
      </c>
      <c r="I261" s="2" t="n">
        <v>193</v>
      </c>
      <c r="J261" s="2"/>
      <c r="K261" s="2" t="n">
        <v>1</v>
      </c>
      <c r="L261" s="2" t="n">
        <v>1</v>
      </c>
      <c r="M261" s="2" t="n">
        <v>0</v>
      </c>
      <c r="N261" s="2" t="n">
        <v>0</v>
      </c>
      <c r="O261" s="2" t="n">
        <v>0</v>
      </c>
      <c r="P261" s="2" t="n">
        <v>1</v>
      </c>
      <c r="Q261" s="2" t="n">
        <v>1</v>
      </c>
      <c r="R261" s="2" t="n">
        <v>0</v>
      </c>
      <c r="S261" s="2" t="n">
        <f aca="false">A262-A261</f>
        <v>0.200000000000017</v>
      </c>
      <c r="T261" s="2" t="n">
        <f aca="false">C261+Summary!$C$8*D261</f>
        <v>0.4786315</v>
      </c>
      <c r="U261" s="2" t="n">
        <f aca="false">B261*T261</f>
        <v>5.642108122</v>
      </c>
      <c r="V261" s="2" t="n">
        <f aca="false">B261*C261</f>
        <v>2.086476</v>
      </c>
      <c r="W261" s="2" t="s">
        <v>71</v>
      </c>
      <c r="X261" s="2" t="s">
        <v>10</v>
      </c>
    </row>
    <row r="262" customFormat="false" ht="15" hidden="false" customHeight="false" outlineLevel="0" collapsed="false">
      <c r="A262" s="2" t="n">
        <v>226.86</v>
      </c>
      <c r="B262" s="2" t="n">
        <v>11.765</v>
      </c>
      <c r="C262" s="2" t="n">
        <v>0.205</v>
      </c>
      <c r="D262" s="2" t="n">
        <v>3.652</v>
      </c>
      <c r="E262" s="2" t="n">
        <v>0.326</v>
      </c>
      <c r="F262" s="2" t="n">
        <v>77</v>
      </c>
      <c r="G262" s="2" t="n">
        <v>400</v>
      </c>
      <c r="H262" s="2" t="n">
        <v>400</v>
      </c>
      <c r="I262" s="2" t="n">
        <v>25</v>
      </c>
      <c r="J262" s="2"/>
      <c r="K262" s="2" t="n">
        <v>1</v>
      </c>
      <c r="L262" s="2" t="n">
        <v>1</v>
      </c>
      <c r="M262" s="2" t="n">
        <v>0</v>
      </c>
      <c r="N262" s="2" t="n">
        <v>0</v>
      </c>
      <c r="O262" s="2" t="n">
        <v>0</v>
      </c>
      <c r="P262" s="2" t="n">
        <v>1</v>
      </c>
      <c r="Q262" s="2" t="n">
        <v>1</v>
      </c>
      <c r="R262" s="2" t="n">
        <v>0</v>
      </c>
      <c r="S262" s="2" t="n">
        <f aca="false">A263-A262</f>
        <v>0.199999999999989</v>
      </c>
      <c r="T262" s="2" t="n">
        <f aca="false">C262+Summary!$C$8*D262</f>
        <v>0.502638</v>
      </c>
      <c r="U262" s="2" t="n">
        <f aca="false">B262*T262</f>
        <v>5.91353607</v>
      </c>
      <c r="V262" s="2" t="n">
        <f aca="false">B262*C262</f>
        <v>2.411825</v>
      </c>
      <c r="W262" s="2" t="s">
        <v>71</v>
      </c>
      <c r="X262" s="2" t="s">
        <v>10</v>
      </c>
    </row>
    <row r="263" customFormat="false" ht="15" hidden="false" customHeight="false" outlineLevel="0" collapsed="false">
      <c r="A263" s="2" t="n">
        <v>227.06</v>
      </c>
      <c r="B263" s="2" t="n">
        <v>11.772</v>
      </c>
      <c r="C263" s="2" t="n">
        <v>0.197</v>
      </c>
      <c r="D263" s="2" t="n">
        <v>3.679</v>
      </c>
      <c r="E263" s="2" t="n">
        <v>0.326</v>
      </c>
      <c r="F263" s="2" t="n">
        <v>77</v>
      </c>
      <c r="G263" s="2" t="n">
        <v>400</v>
      </c>
      <c r="H263" s="2" t="n">
        <v>400</v>
      </c>
      <c r="I263" s="2" t="n">
        <v>171</v>
      </c>
      <c r="J263" s="2"/>
      <c r="K263" s="2" t="n">
        <v>1</v>
      </c>
      <c r="L263" s="2" t="n">
        <v>1</v>
      </c>
      <c r="M263" s="2" t="n">
        <v>0</v>
      </c>
      <c r="N263" s="2" t="n">
        <v>0</v>
      </c>
      <c r="O263" s="2" t="n">
        <v>0</v>
      </c>
      <c r="P263" s="2" t="n">
        <v>1</v>
      </c>
      <c r="Q263" s="2" t="n">
        <v>1</v>
      </c>
      <c r="R263" s="2" t="n">
        <v>0</v>
      </c>
      <c r="S263" s="2" t="n">
        <f aca="false">A264-A263</f>
        <v>0.199999999999989</v>
      </c>
      <c r="T263" s="2" t="n">
        <f aca="false">C263+Summary!$C$8*D263</f>
        <v>0.4968385</v>
      </c>
      <c r="U263" s="2" t="n">
        <f aca="false">B263*T263</f>
        <v>5.848782822</v>
      </c>
      <c r="V263" s="2" t="n">
        <f aca="false">B263*C263</f>
        <v>2.319084</v>
      </c>
      <c r="W263" s="2" t="s">
        <v>71</v>
      </c>
      <c r="X263" s="2" t="s">
        <v>10</v>
      </c>
    </row>
    <row r="264" customFormat="false" ht="15" hidden="false" customHeight="false" outlineLevel="0" collapsed="false">
      <c r="A264" s="2" t="n">
        <v>227.26</v>
      </c>
      <c r="B264" s="2" t="n">
        <v>11.878</v>
      </c>
      <c r="C264" s="2" t="n">
        <v>-0.092</v>
      </c>
      <c r="D264" s="2" t="n">
        <v>3.511</v>
      </c>
      <c r="E264" s="2" t="n">
        <v>0.299</v>
      </c>
      <c r="F264" s="2" t="n">
        <v>77</v>
      </c>
      <c r="G264" s="2" t="n">
        <v>400</v>
      </c>
      <c r="H264" s="2" t="n">
        <v>400</v>
      </c>
      <c r="I264" s="2" t="n">
        <v>162</v>
      </c>
      <c r="J264" s="2"/>
      <c r="K264" s="2" t="n">
        <v>1</v>
      </c>
      <c r="L264" s="2" t="n">
        <v>1</v>
      </c>
      <c r="M264" s="2" t="n">
        <v>0</v>
      </c>
      <c r="N264" s="2" t="n">
        <v>0</v>
      </c>
      <c r="O264" s="2" t="n">
        <v>0</v>
      </c>
      <c r="P264" s="2" t="n">
        <v>1</v>
      </c>
      <c r="Q264" s="2" t="n">
        <v>1</v>
      </c>
      <c r="R264" s="2" t="n">
        <v>0</v>
      </c>
      <c r="S264" s="2" t="n">
        <f aca="false">A265-A264</f>
        <v>0.200000000000017</v>
      </c>
      <c r="T264" s="2" t="n">
        <f aca="false">C264+Summary!$C$8*D264</f>
        <v>0.1941465</v>
      </c>
      <c r="U264" s="2" t="n">
        <f aca="false">B264*T264</f>
        <v>2.306072127</v>
      </c>
      <c r="V264" s="2" t="n">
        <f aca="false">B264*C264</f>
        <v>-1.092776</v>
      </c>
      <c r="W264" s="2" t="s">
        <v>71</v>
      </c>
      <c r="X264" s="2" t="s">
        <v>10</v>
      </c>
    </row>
    <row r="265" customFormat="false" ht="15" hidden="false" customHeight="false" outlineLevel="0" collapsed="false">
      <c r="A265" s="2" t="n">
        <v>227.46</v>
      </c>
      <c r="B265" s="2" t="n">
        <v>11.889</v>
      </c>
      <c r="C265" s="2" t="n">
        <v>-0.106</v>
      </c>
      <c r="D265" s="2" t="n">
        <v>3.477</v>
      </c>
      <c r="E265" s="2" t="n">
        <v>0.258</v>
      </c>
      <c r="F265" s="2" t="n">
        <v>77</v>
      </c>
      <c r="G265" s="2" t="n">
        <v>214</v>
      </c>
      <c r="H265" s="2" t="n">
        <v>28</v>
      </c>
      <c r="I265" s="2" t="n">
        <v>49</v>
      </c>
      <c r="J265" s="2"/>
      <c r="K265" s="2" t="n">
        <v>1</v>
      </c>
      <c r="L265" s="2" t="n">
        <v>1</v>
      </c>
      <c r="M265" s="2" t="n">
        <v>0</v>
      </c>
      <c r="N265" s="2" t="n">
        <v>0</v>
      </c>
      <c r="O265" s="2" t="n">
        <v>0</v>
      </c>
      <c r="P265" s="2" t="n">
        <v>1</v>
      </c>
      <c r="Q265" s="2" t="n">
        <v>1</v>
      </c>
      <c r="R265" s="2" t="n">
        <v>0</v>
      </c>
      <c r="S265" s="2" t="n">
        <f aca="false">A266-A265</f>
        <v>0.199999999999989</v>
      </c>
      <c r="T265" s="2" t="n">
        <f aca="false">C265+Summary!$C$8*D265</f>
        <v>0.1773755</v>
      </c>
      <c r="U265" s="2" t="n">
        <f aca="false">B265*T265</f>
        <v>2.1088173195</v>
      </c>
      <c r="V265" s="2" t="n">
        <f aca="false">B265*C265</f>
        <v>-1.260234</v>
      </c>
      <c r="W265" s="2" t="s">
        <v>71</v>
      </c>
      <c r="X265" s="2" t="s">
        <v>10</v>
      </c>
    </row>
    <row r="266" customFormat="false" ht="15" hidden="false" customHeight="false" outlineLevel="0" collapsed="false">
      <c r="A266" s="2" t="n">
        <v>227.66</v>
      </c>
      <c r="B266" s="2" t="n">
        <v>11.911</v>
      </c>
      <c r="C266" s="2" t="n">
        <v>-0.167</v>
      </c>
      <c r="D266" s="2" t="n">
        <v>3.419</v>
      </c>
      <c r="E266" s="2" t="n">
        <v>0.19</v>
      </c>
      <c r="F266" s="2" t="n">
        <v>77</v>
      </c>
      <c r="G266" s="2" t="n">
        <v>22</v>
      </c>
      <c r="H266" s="2" t="n">
        <v>150</v>
      </c>
      <c r="I266" s="2" t="n">
        <v>144</v>
      </c>
      <c r="J266" s="2"/>
      <c r="K266" s="2" t="n">
        <v>1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1</v>
      </c>
      <c r="Q266" s="2" t="n">
        <v>1</v>
      </c>
      <c r="R266" s="2" t="n">
        <v>0</v>
      </c>
      <c r="S266" s="2" t="n">
        <f aca="false">A267-A266</f>
        <v>0.200000000000017</v>
      </c>
      <c r="T266" s="2" t="n">
        <f aca="false">C266+Summary!$C$8*D266</f>
        <v>0.1116485</v>
      </c>
      <c r="U266" s="2" t="n">
        <f aca="false">B266*T266</f>
        <v>1.3298452835</v>
      </c>
      <c r="V266" s="2" t="n">
        <f aca="false">B266*C266</f>
        <v>-1.989137</v>
      </c>
      <c r="W266" s="2" t="s">
        <v>71</v>
      </c>
      <c r="X266" s="2" t="s">
        <v>10</v>
      </c>
    </row>
    <row r="267" customFormat="false" ht="15" hidden="false" customHeight="false" outlineLevel="0" collapsed="false">
      <c r="A267" s="2" t="n">
        <v>227.86</v>
      </c>
      <c r="B267" s="2" t="n">
        <v>11.911</v>
      </c>
      <c r="C267" s="2" t="n">
        <v>-0.166</v>
      </c>
      <c r="D267" s="2" t="n">
        <v>3.381</v>
      </c>
      <c r="E267" s="2" t="n">
        <v>0.068</v>
      </c>
      <c r="F267" s="2" t="n">
        <v>77</v>
      </c>
      <c r="G267" s="2" t="n">
        <v>146</v>
      </c>
      <c r="H267" s="2" t="n">
        <v>147</v>
      </c>
      <c r="I267" s="2" t="n">
        <v>141</v>
      </c>
      <c r="J267" s="2"/>
      <c r="K267" s="2" t="n">
        <v>1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1</v>
      </c>
      <c r="Q267" s="2" t="n">
        <v>1</v>
      </c>
      <c r="R267" s="2" t="n">
        <v>0</v>
      </c>
      <c r="S267" s="2" t="n">
        <f aca="false">A268-A267</f>
        <v>0.199999999999989</v>
      </c>
      <c r="T267" s="2" t="n">
        <f aca="false">C267+Summary!$C$8*D267</f>
        <v>0.1095515</v>
      </c>
      <c r="U267" s="2" t="n">
        <f aca="false">B267*T267</f>
        <v>1.3048679165</v>
      </c>
      <c r="V267" s="2" t="n">
        <f aca="false">B267*C267</f>
        <v>-1.977226</v>
      </c>
      <c r="W267" s="2" t="s">
        <v>71</v>
      </c>
      <c r="X267" s="2" t="s">
        <v>10</v>
      </c>
    </row>
    <row r="268" customFormat="false" ht="15" hidden="false" customHeight="false" outlineLevel="0" collapsed="false">
      <c r="A268" s="2" t="n">
        <v>228.06</v>
      </c>
      <c r="B268" s="2" t="n">
        <v>11.909</v>
      </c>
      <c r="C268" s="2" t="n">
        <v>-0.164</v>
      </c>
      <c r="D268" s="2" t="n">
        <v>3.354</v>
      </c>
      <c r="E268" s="2" t="n">
        <v>0.068</v>
      </c>
      <c r="F268" s="2" t="n">
        <v>77</v>
      </c>
      <c r="G268" s="2" t="n">
        <v>145</v>
      </c>
      <c r="H268" s="2" t="n">
        <v>400</v>
      </c>
      <c r="I268" s="2" t="n">
        <v>140</v>
      </c>
      <c r="J268" s="2"/>
      <c r="K268" s="2" t="n">
        <v>1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1</v>
      </c>
      <c r="Q268" s="2" t="n">
        <v>1</v>
      </c>
      <c r="R268" s="2" t="n">
        <v>0</v>
      </c>
      <c r="S268" s="2" t="n">
        <f aca="false">A269-A268</f>
        <v>0.199999999999989</v>
      </c>
      <c r="T268" s="2" t="n">
        <f aca="false">C268+Summary!$C$8*D268</f>
        <v>0.109351</v>
      </c>
      <c r="U268" s="2" t="n">
        <f aca="false">B268*T268</f>
        <v>1.302261059</v>
      </c>
      <c r="V268" s="2" t="n">
        <f aca="false">B268*C268</f>
        <v>-1.953076</v>
      </c>
      <c r="W268" s="2" t="s">
        <v>71</v>
      </c>
      <c r="X268" s="2" t="s">
        <v>10</v>
      </c>
    </row>
    <row r="269" customFormat="false" ht="15" hidden="false" customHeight="false" outlineLevel="0" collapsed="false">
      <c r="A269" s="2" t="n">
        <v>228.26</v>
      </c>
      <c r="B269" s="2" t="n">
        <v>11.899</v>
      </c>
      <c r="C269" s="2" t="n">
        <v>-0.164</v>
      </c>
      <c r="D269" s="2" t="n">
        <v>3.369</v>
      </c>
      <c r="E269" s="2" t="n">
        <v>0.013</v>
      </c>
      <c r="F269" s="2" t="n">
        <v>77</v>
      </c>
      <c r="G269" s="2" t="n">
        <v>145</v>
      </c>
      <c r="H269" s="2" t="n">
        <v>400</v>
      </c>
      <c r="I269" s="2" t="n">
        <v>140</v>
      </c>
      <c r="J269" s="2"/>
      <c r="K269" s="2" t="n">
        <v>1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1</v>
      </c>
      <c r="Q269" s="2" t="n">
        <v>1</v>
      </c>
      <c r="R269" s="2" t="n">
        <v>0</v>
      </c>
      <c r="S269" s="2" t="n">
        <f aca="false">A270-A269</f>
        <v>0.200000000000017</v>
      </c>
      <c r="T269" s="2" t="n">
        <f aca="false">C269+Summary!$C$8*D269</f>
        <v>0.1105735</v>
      </c>
      <c r="U269" s="2" t="n">
        <f aca="false">B269*T269</f>
        <v>1.3157140765</v>
      </c>
      <c r="V269" s="2" t="n">
        <f aca="false">B269*C269</f>
        <v>-1.951436</v>
      </c>
      <c r="W269" s="2" t="s">
        <v>71</v>
      </c>
      <c r="X269" s="2" t="s">
        <v>10</v>
      </c>
    </row>
    <row r="270" customFormat="false" ht="15" hidden="false" customHeight="false" outlineLevel="0" collapsed="false">
      <c r="A270" s="2" t="n">
        <v>228.46</v>
      </c>
      <c r="B270" s="2" t="n">
        <v>11.911</v>
      </c>
      <c r="C270" s="2" t="n">
        <v>-0.164</v>
      </c>
      <c r="D270" s="2" t="n">
        <v>3.372</v>
      </c>
      <c r="E270" s="2" t="n">
        <v>0</v>
      </c>
      <c r="F270" s="2" t="n">
        <v>77</v>
      </c>
      <c r="G270" s="2" t="n">
        <v>145</v>
      </c>
      <c r="H270" s="2" t="n">
        <v>149</v>
      </c>
      <c r="I270" s="2" t="n">
        <v>140</v>
      </c>
      <c r="J270" s="2"/>
      <c r="K270" s="2" t="n">
        <v>1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1</v>
      </c>
      <c r="Q270" s="2" t="n">
        <v>1</v>
      </c>
      <c r="R270" s="2" t="n">
        <v>0</v>
      </c>
      <c r="S270" s="2" t="n">
        <f aca="false">A271-A270</f>
        <v>0.199999999999989</v>
      </c>
      <c r="T270" s="2" t="n">
        <f aca="false">C270+Summary!$C$8*D270</f>
        <v>0.110818</v>
      </c>
      <c r="U270" s="2" t="n">
        <f aca="false">B270*T270</f>
        <v>1.319953198</v>
      </c>
      <c r="V270" s="2" t="n">
        <f aca="false">B270*C270</f>
        <v>-1.953404</v>
      </c>
    </row>
    <row r="271" customFormat="false" ht="15" hidden="false" customHeight="false" outlineLevel="0" collapsed="false">
      <c r="A271" s="2" t="n">
        <v>228.66</v>
      </c>
      <c r="B271" s="2" t="n">
        <v>11.911</v>
      </c>
      <c r="C271" s="2" t="n">
        <v>-0.164</v>
      </c>
      <c r="D271" s="2" t="n">
        <v>3.364</v>
      </c>
      <c r="E271" s="2" t="n">
        <v>0</v>
      </c>
      <c r="F271" s="2" t="n">
        <v>77</v>
      </c>
      <c r="G271" s="2" t="n">
        <v>146</v>
      </c>
      <c r="H271" s="2" t="n">
        <v>400</v>
      </c>
      <c r="I271" s="2" t="n">
        <v>140</v>
      </c>
      <c r="J271" s="2"/>
      <c r="K271" s="2" t="n">
        <v>1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1</v>
      </c>
      <c r="Q271" s="2" t="n">
        <v>1</v>
      </c>
      <c r="R271" s="2" t="n">
        <v>0</v>
      </c>
      <c r="S271" s="2" t="n">
        <f aca="false">A272-A271</f>
        <v>0.200000000000017</v>
      </c>
      <c r="T271" s="2" t="n">
        <f aca="false">C271+Summary!$C$8*D271</f>
        <v>0.110166</v>
      </c>
      <c r="U271" s="2" t="n">
        <f aca="false">B271*T271</f>
        <v>1.312187226</v>
      </c>
      <c r="V271" s="2" t="n">
        <f aca="false">B271*C271</f>
        <v>-1.953404</v>
      </c>
    </row>
    <row r="272" customFormat="false" ht="15" hidden="false" customHeight="false" outlineLevel="0" collapsed="false">
      <c r="A272" s="2" t="n">
        <v>228.86</v>
      </c>
      <c r="B272" s="2" t="n">
        <v>11.714</v>
      </c>
      <c r="C272" s="2" t="n">
        <v>0.411</v>
      </c>
      <c r="D272" s="2" t="n">
        <v>3.351</v>
      </c>
      <c r="E272" s="2" t="n">
        <v>0</v>
      </c>
      <c r="F272" s="2" t="n">
        <v>77</v>
      </c>
      <c r="G272" s="2" t="n">
        <v>200</v>
      </c>
      <c r="H272" s="2" t="n">
        <v>400</v>
      </c>
      <c r="I272" s="2" t="n">
        <v>65</v>
      </c>
      <c r="J272" s="2"/>
      <c r="K272" s="2" t="n">
        <v>1</v>
      </c>
      <c r="L272" s="2" t="n">
        <v>1</v>
      </c>
      <c r="M272" s="2" t="n">
        <v>0</v>
      </c>
      <c r="N272" s="2" t="n">
        <v>0</v>
      </c>
      <c r="O272" s="2" t="n">
        <v>0</v>
      </c>
      <c r="P272" s="2" t="n">
        <v>1</v>
      </c>
      <c r="Q272" s="2" t="n">
        <v>1</v>
      </c>
      <c r="R272" s="2" t="n">
        <v>0</v>
      </c>
      <c r="S272" s="2" t="n">
        <f aca="false">A273-A272</f>
        <v>0.199999999999989</v>
      </c>
      <c r="T272" s="2" t="n">
        <f aca="false">C272+Summary!$C$8*D272</f>
        <v>0.6841065</v>
      </c>
      <c r="U272" s="2" t="n">
        <f aca="false">B272*T272</f>
        <v>8.013623541</v>
      </c>
      <c r="V272" s="2" t="n">
        <f aca="false">B272*C272</f>
        <v>4.814454</v>
      </c>
      <c r="W272" s="2" t="s">
        <v>72</v>
      </c>
      <c r="X272" s="2" t="s">
        <v>10</v>
      </c>
    </row>
    <row r="273" customFormat="false" ht="15" hidden="false" customHeight="false" outlineLevel="0" collapsed="false">
      <c r="A273" s="2" t="n">
        <v>229.06</v>
      </c>
      <c r="B273" s="2" t="n">
        <v>11.616</v>
      </c>
      <c r="C273" s="2" t="n">
        <v>0.676</v>
      </c>
      <c r="D273" s="2" t="n">
        <v>3.189</v>
      </c>
      <c r="E273" s="2" t="n">
        <v>0</v>
      </c>
      <c r="F273" s="2" t="n">
        <v>77</v>
      </c>
      <c r="G273" s="2" t="n">
        <v>197</v>
      </c>
      <c r="H273" s="2" t="n">
        <v>21</v>
      </c>
      <c r="I273" s="2" t="n">
        <v>138</v>
      </c>
      <c r="J273" s="2"/>
      <c r="K273" s="2" t="n">
        <v>1</v>
      </c>
      <c r="L273" s="2" t="n">
        <v>1</v>
      </c>
      <c r="M273" s="2" t="n">
        <v>0</v>
      </c>
      <c r="N273" s="2" t="n">
        <v>0</v>
      </c>
      <c r="O273" s="2" t="n">
        <v>0</v>
      </c>
      <c r="P273" s="2" t="n">
        <v>1</v>
      </c>
      <c r="Q273" s="2" t="n">
        <v>1</v>
      </c>
      <c r="R273" s="2" t="n">
        <v>0</v>
      </c>
      <c r="S273" s="2" t="n">
        <f aca="false">A274-A273</f>
        <v>0.199999999999989</v>
      </c>
      <c r="T273" s="2" t="n">
        <f aca="false">C273+Summary!$C$8*D273</f>
        <v>0.9359035</v>
      </c>
      <c r="U273" s="2" t="n">
        <f aca="false">B273*T273</f>
        <v>10.871455056</v>
      </c>
      <c r="V273" s="2" t="n">
        <f aca="false">B273*C273</f>
        <v>7.852416</v>
      </c>
      <c r="W273" s="2" t="s">
        <v>72</v>
      </c>
      <c r="X273" s="2" t="s">
        <v>10</v>
      </c>
    </row>
    <row r="274" customFormat="false" ht="15" hidden="false" customHeight="false" outlineLevel="0" collapsed="false">
      <c r="A274" s="2" t="n">
        <v>229.26</v>
      </c>
      <c r="B274" s="2" t="n">
        <v>11.736</v>
      </c>
      <c r="C274" s="2" t="n">
        <v>0.396</v>
      </c>
      <c r="D274" s="2" t="n">
        <v>3.196</v>
      </c>
      <c r="E274" s="2" t="n">
        <v>0.149</v>
      </c>
      <c r="F274" s="2" t="n">
        <v>77</v>
      </c>
      <c r="G274" s="2" t="n">
        <v>188</v>
      </c>
      <c r="H274" s="2" t="n">
        <v>41</v>
      </c>
      <c r="I274" s="2" t="n">
        <v>27</v>
      </c>
      <c r="J274" s="2"/>
      <c r="K274" s="2" t="n">
        <v>1</v>
      </c>
      <c r="L274" s="2" t="n">
        <v>1</v>
      </c>
      <c r="M274" s="2" t="n">
        <v>0</v>
      </c>
      <c r="N274" s="2" t="n">
        <v>0</v>
      </c>
      <c r="O274" s="2" t="n">
        <v>0</v>
      </c>
      <c r="P274" s="2" t="n">
        <v>1</v>
      </c>
      <c r="Q274" s="2" t="n">
        <v>1</v>
      </c>
      <c r="R274" s="2" t="n">
        <v>0</v>
      </c>
      <c r="S274" s="2" t="n">
        <f aca="false">A275-A274</f>
        <v>0.200000000000017</v>
      </c>
      <c r="T274" s="2" t="n">
        <f aca="false">C274+Summary!$C$8*D274</f>
        <v>0.656474</v>
      </c>
      <c r="U274" s="2" t="n">
        <f aca="false">B274*T274</f>
        <v>7.704378864</v>
      </c>
      <c r="V274" s="2" t="n">
        <f aca="false">B274*C274</f>
        <v>4.647456</v>
      </c>
      <c r="W274" s="2" t="s">
        <v>72</v>
      </c>
      <c r="X274" s="2" t="s">
        <v>10</v>
      </c>
    </row>
    <row r="275" customFormat="false" ht="15" hidden="false" customHeight="false" outlineLevel="0" collapsed="false">
      <c r="A275" s="2" t="n">
        <v>229.46</v>
      </c>
      <c r="B275" s="2" t="n">
        <v>11.776</v>
      </c>
      <c r="C275" s="2" t="n">
        <v>0.242</v>
      </c>
      <c r="D275" s="2" t="n">
        <v>3.171</v>
      </c>
      <c r="E275" s="2" t="n">
        <v>0.285</v>
      </c>
      <c r="F275" s="2" t="n">
        <v>77</v>
      </c>
      <c r="G275" s="2" t="n">
        <v>175</v>
      </c>
      <c r="H275" s="2" t="n">
        <v>31</v>
      </c>
      <c r="I275" s="2" t="n">
        <v>27</v>
      </c>
      <c r="J275" s="2"/>
      <c r="K275" s="2" t="n">
        <v>1</v>
      </c>
      <c r="L275" s="2" t="n">
        <v>1</v>
      </c>
      <c r="M275" s="2" t="n">
        <v>0</v>
      </c>
      <c r="N275" s="2" t="n">
        <v>0</v>
      </c>
      <c r="O275" s="2" t="n">
        <v>0</v>
      </c>
      <c r="P275" s="2" t="n">
        <v>1</v>
      </c>
      <c r="Q275" s="2" t="n">
        <v>1</v>
      </c>
      <c r="R275" s="2" t="n">
        <v>0</v>
      </c>
      <c r="S275" s="2" t="n">
        <f aca="false">A276-A275</f>
        <v>0.199999999999989</v>
      </c>
      <c r="T275" s="2" t="n">
        <f aca="false">C275+Summary!$C$8*D275</f>
        <v>0.5004365</v>
      </c>
      <c r="U275" s="2" t="n">
        <f aca="false">B275*T275</f>
        <v>5.893140224</v>
      </c>
      <c r="V275" s="2" t="n">
        <f aca="false">B275*C275</f>
        <v>2.849792</v>
      </c>
      <c r="W275" s="2" t="s">
        <v>72</v>
      </c>
      <c r="X275" s="2" t="s">
        <v>10</v>
      </c>
    </row>
    <row r="276" customFormat="false" ht="15" hidden="false" customHeight="false" outlineLevel="0" collapsed="false">
      <c r="A276" s="2" t="n">
        <v>229.66</v>
      </c>
      <c r="B276" s="2" t="n">
        <v>11.781</v>
      </c>
      <c r="C276" s="2" t="n">
        <v>0.271</v>
      </c>
      <c r="D276" s="2" t="n">
        <v>3.088</v>
      </c>
      <c r="E276" s="2" t="n">
        <v>0.34</v>
      </c>
      <c r="F276" s="2" t="n">
        <v>77</v>
      </c>
      <c r="G276" s="2" t="n">
        <v>311</v>
      </c>
      <c r="H276" s="2" t="n">
        <v>400</v>
      </c>
      <c r="I276" s="2" t="n">
        <v>106</v>
      </c>
      <c r="J276" s="2"/>
      <c r="K276" s="2" t="n">
        <v>1</v>
      </c>
      <c r="L276" s="2" t="n">
        <v>1</v>
      </c>
      <c r="M276" s="2" t="n">
        <v>0</v>
      </c>
      <c r="N276" s="2" t="n">
        <v>0</v>
      </c>
      <c r="O276" s="2" t="n">
        <v>0</v>
      </c>
      <c r="P276" s="2" t="n">
        <v>1</v>
      </c>
      <c r="Q276" s="2" t="n">
        <v>1</v>
      </c>
      <c r="R276" s="2" t="n">
        <v>0</v>
      </c>
      <c r="S276" s="2" t="n">
        <f aca="false">A277-A276</f>
        <v>0.200000000000017</v>
      </c>
      <c r="T276" s="2" t="n">
        <f aca="false">C276+Summary!$C$8*D276</f>
        <v>0.522672</v>
      </c>
      <c r="U276" s="2" t="n">
        <f aca="false">B276*T276</f>
        <v>6.157598832</v>
      </c>
      <c r="V276" s="2" t="n">
        <f aca="false">B276*C276</f>
        <v>3.192651</v>
      </c>
      <c r="W276" s="2" t="s">
        <v>72</v>
      </c>
      <c r="X276" s="2" t="s">
        <v>10</v>
      </c>
    </row>
    <row r="277" customFormat="false" ht="15" hidden="false" customHeight="false" outlineLevel="0" collapsed="false">
      <c r="A277" s="2" t="n">
        <v>229.86</v>
      </c>
      <c r="B277" s="2" t="n">
        <v>11.763</v>
      </c>
      <c r="C277" s="2" t="n">
        <v>0.289</v>
      </c>
      <c r="D277" s="2" t="n">
        <v>2.679</v>
      </c>
      <c r="E277" s="2" t="n">
        <v>0.353</v>
      </c>
      <c r="F277" s="2" t="n">
        <v>77</v>
      </c>
      <c r="G277" s="2" t="n">
        <v>141</v>
      </c>
      <c r="H277" s="2" t="n">
        <v>400</v>
      </c>
      <c r="I277" s="2" t="n">
        <v>24</v>
      </c>
      <c r="J277" s="2"/>
      <c r="K277" s="2" t="n">
        <v>1</v>
      </c>
      <c r="L277" s="2" t="n">
        <v>1</v>
      </c>
      <c r="M277" s="2" t="n">
        <v>0</v>
      </c>
      <c r="N277" s="2" t="n">
        <v>0</v>
      </c>
      <c r="O277" s="2" t="n">
        <v>0</v>
      </c>
      <c r="P277" s="2" t="n">
        <v>1</v>
      </c>
      <c r="Q277" s="2" t="n">
        <v>1</v>
      </c>
      <c r="R277" s="2" t="n">
        <v>0</v>
      </c>
      <c r="S277" s="2" t="n">
        <f aca="false">A278-A277</f>
        <v>0.199999999999989</v>
      </c>
      <c r="T277" s="2" t="n">
        <f aca="false">C277+Summary!$C$8*D277</f>
        <v>0.5073385</v>
      </c>
      <c r="U277" s="2" t="n">
        <f aca="false">B277*T277</f>
        <v>5.9678227755</v>
      </c>
      <c r="V277" s="2" t="n">
        <f aca="false">B277*C277</f>
        <v>3.399507</v>
      </c>
      <c r="W277" s="2" t="s">
        <v>72</v>
      </c>
      <c r="X277" s="2" t="s">
        <v>10</v>
      </c>
    </row>
    <row r="278" customFormat="false" ht="15" hidden="false" customHeight="false" outlineLevel="0" collapsed="false">
      <c r="A278" s="2" t="n">
        <v>230.06</v>
      </c>
      <c r="B278" s="2" t="n">
        <v>11.754</v>
      </c>
      <c r="C278" s="2" t="n">
        <v>0.352</v>
      </c>
      <c r="D278" s="2" t="n">
        <v>1.703</v>
      </c>
      <c r="E278" s="2" t="n">
        <v>0.353</v>
      </c>
      <c r="F278" s="2" t="n">
        <v>77</v>
      </c>
      <c r="G278" s="2" t="n">
        <v>130</v>
      </c>
      <c r="H278" s="2" t="n">
        <v>400</v>
      </c>
      <c r="I278" s="2" t="n">
        <v>86</v>
      </c>
      <c r="J278" s="2"/>
      <c r="K278" s="2" t="n">
        <v>1</v>
      </c>
      <c r="L278" s="2" t="n">
        <v>1</v>
      </c>
      <c r="M278" s="2" t="n">
        <v>0</v>
      </c>
      <c r="N278" s="2" t="n">
        <v>0</v>
      </c>
      <c r="O278" s="2" t="n">
        <v>0</v>
      </c>
      <c r="P278" s="2" t="n">
        <v>1</v>
      </c>
      <c r="Q278" s="2" t="n">
        <v>1</v>
      </c>
      <c r="R278" s="2" t="n">
        <v>0</v>
      </c>
      <c r="S278" s="2" t="n">
        <f aca="false">A279-A278</f>
        <v>0.199999999999989</v>
      </c>
      <c r="T278" s="2" t="n">
        <f aca="false">C278+Summary!$C$8*D278</f>
        <v>0.4907945</v>
      </c>
      <c r="U278" s="2" t="n">
        <f aca="false">B278*T278</f>
        <v>5.768798553</v>
      </c>
      <c r="V278" s="2" t="n">
        <f aca="false">B278*C278</f>
        <v>4.137408</v>
      </c>
      <c r="W278" s="2" t="s">
        <v>72</v>
      </c>
      <c r="X278" s="2" t="s">
        <v>10</v>
      </c>
    </row>
    <row r="279" customFormat="false" ht="15" hidden="false" customHeight="false" outlineLevel="0" collapsed="false">
      <c r="A279" s="2" t="n">
        <v>230.26</v>
      </c>
      <c r="B279" s="2" t="n">
        <v>11.842</v>
      </c>
      <c r="C279" s="2" t="n">
        <v>0.027</v>
      </c>
      <c r="D279" s="2" t="n">
        <v>1.575</v>
      </c>
      <c r="E279" s="2" t="n">
        <v>0.353</v>
      </c>
      <c r="F279" s="2" t="n">
        <v>77</v>
      </c>
      <c r="G279" s="2" t="n">
        <v>114</v>
      </c>
      <c r="H279" s="2" t="n">
        <v>400</v>
      </c>
      <c r="I279" s="2" t="n">
        <v>75</v>
      </c>
      <c r="J279" s="2"/>
      <c r="K279" s="2" t="n">
        <v>1</v>
      </c>
      <c r="L279" s="2" t="n">
        <v>1</v>
      </c>
      <c r="M279" s="2" t="n">
        <v>0</v>
      </c>
      <c r="N279" s="2" t="n">
        <v>0</v>
      </c>
      <c r="O279" s="2" t="n">
        <v>0</v>
      </c>
      <c r="P279" s="2" t="n">
        <v>1</v>
      </c>
      <c r="Q279" s="2" t="n">
        <v>1</v>
      </c>
      <c r="R279" s="2" t="n">
        <v>0</v>
      </c>
      <c r="S279" s="2" t="n">
        <f aca="false">A280-A279</f>
        <v>0.200000000000017</v>
      </c>
      <c r="T279" s="2" t="n">
        <f aca="false">C279+Summary!$C$8*D279</f>
        <v>0.1553625</v>
      </c>
      <c r="U279" s="2" t="n">
        <f aca="false">B279*T279</f>
        <v>1.839802725</v>
      </c>
      <c r="V279" s="2" t="n">
        <f aca="false">B279*C279</f>
        <v>0.319734</v>
      </c>
      <c r="W279" s="2" t="s">
        <v>72</v>
      </c>
      <c r="X279" s="2" t="s">
        <v>10</v>
      </c>
    </row>
    <row r="280" customFormat="false" ht="15" hidden="false" customHeight="false" outlineLevel="0" collapsed="false">
      <c r="A280" s="2" t="n">
        <v>230.46</v>
      </c>
      <c r="B280" s="2" t="n">
        <v>11.851</v>
      </c>
      <c r="C280" s="2" t="n">
        <v>-0.003</v>
      </c>
      <c r="D280" s="2" t="n">
        <v>1.398</v>
      </c>
      <c r="E280" s="2" t="n">
        <v>0.326</v>
      </c>
      <c r="F280" s="2" t="n">
        <v>77</v>
      </c>
      <c r="G280" s="2" t="n">
        <v>105</v>
      </c>
      <c r="H280" s="2" t="n">
        <v>29</v>
      </c>
      <c r="I280" s="2" t="n">
        <v>70</v>
      </c>
      <c r="J280" s="2"/>
      <c r="K280" s="2" t="n">
        <v>1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1</v>
      </c>
      <c r="Q280" s="2" t="n">
        <v>1</v>
      </c>
      <c r="R280" s="2" t="n">
        <v>0</v>
      </c>
      <c r="S280" s="2" t="n">
        <f aca="false">A281-A280</f>
        <v>0.199999999999989</v>
      </c>
      <c r="T280" s="2" t="n">
        <f aca="false">C280+Summary!$C$8*D280</f>
        <v>0.110937</v>
      </c>
      <c r="U280" s="2" t="n">
        <f aca="false">B280*T280</f>
        <v>1.314714387</v>
      </c>
      <c r="V280" s="2" t="n">
        <f aca="false">B280*C280</f>
        <v>-0.035553</v>
      </c>
      <c r="W280" s="2" t="s">
        <v>72</v>
      </c>
      <c r="X280" s="2" t="s">
        <v>10</v>
      </c>
    </row>
    <row r="281" customFormat="false" ht="15" hidden="false" customHeight="false" outlineLevel="0" collapsed="false">
      <c r="A281" s="2" t="n">
        <v>230.66</v>
      </c>
      <c r="B281" s="2" t="n">
        <v>11.86</v>
      </c>
      <c r="C281" s="2" t="n">
        <v>-0.031</v>
      </c>
      <c r="D281" s="2" t="n">
        <v>1.733</v>
      </c>
      <c r="E281" s="2" t="n">
        <v>0.163</v>
      </c>
      <c r="F281" s="2" t="n">
        <v>77</v>
      </c>
      <c r="G281" s="2" t="n">
        <v>400</v>
      </c>
      <c r="H281" s="2" t="n">
        <v>250</v>
      </c>
      <c r="I281" s="2" t="n">
        <v>65</v>
      </c>
      <c r="J281" s="2"/>
      <c r="K281" s="2" t="n">
        <v>1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1</v>
      </c>
      <c r="Q281" s="2" t="n">
        <v>1</v>
      </c>
      <c r="R281" s="2" t="n">
        <v>0</v>
      </c>
      <c r="S281" s="2" t="n">
        <f aca="false">A282-A281</f>
        <v>0.200000000000017</v>
      </c>
      <c r="T281" s="2" t="n">
        <f aca="false">C281+Summary!$C$8*D281</f>
        <v>0.1102395</v>
      </c>
      <c r="U281" s="2" t="n">
        <f aca="false">B281*T281</f>
        <v>1.30744047</v>
      </c>
      <c r="V281" s="2" t="n">
        <f aca="false">B281*C281</f>
        <v>-0.36766</v>
      </c>
      <c r="W281" s="2" t="s">
        <v>72</v>
      </c>
      <c r="X281" s="2" t="s">
        <v>10</v>
      </c>
    </row>
    <row r="282" customFormat="false" ht="15" hidden="false" customHeight="false" outlineLevel="0" collapsed="false">
      <c r="A282" s="2" t="n">
        <v>230.86</v>
      </c>
      <c r="B282" s="2" t="n">
        <v>11.867</v>
      </c>
      <c r="C282" s="2" t="n">
        <v>-0.048</v>
      </c>
      <c r="D282" s="2" t="n">
        <v>1.935</v>
      </c>
      <c r="E282" s="2" t="n">
        <v>0.068</v>
      </c>
      <c r="F282" s="2" t="n">
        <v>77</v>
      </c>
      <c r="G282" s="2" t="n">
        <v>93</v>
      </c>
      <c r="H282" s="2" t="n">
        <v>29</v>
      </c>
      <c r="I282" s="2" t="n">
        <v>63</v>
      </c>
      <c r="J282" s="2"/>
      <c r="K282" s="2" t="n">
        <v>1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1</v>
      </c>
      <c r="Q282" s="2" t="n">
        <v>1</v>
      </c>
      <c r="R282" s="2" t="n">
        <v>0</v>
      </c>
      <c r="S282" s="2" t="n">
        <f aca="false">A283-A282</f>
        <v>0.199999999999989</v>
      </c>
      <c r="T282" s="2" t="n">
        <f aca="false">C282+Summary!$C$8*D282</f>
        <v>0.1097025</v>
      </c>
      <c r="U282" s="2" t="n">
        <f aca="false">B282*T282</f>
        <v>1.3018395675</v>
      </c>
      <c r="V282" s="2" t="n">
        <f aca="false">B282*C282</f>
        <v>-0.569616</v>
      </c>
      <c r="W282" s="2" t="s">
        <v>72</v>
      </c>
      <c r="X282" s="2" t="s">
        <v>10</v>
      </c>
    </row>
    <row r="283" customFormat="false" ht="15" hidden="false" customHeight="false" outlineLevel="0" collapsed="false">
      <c r="A283" s="2" t="n">
        <v>231.06</v>
      </c>
      <c r="B283" s="2" t="n">
        <v>11.861</v>
      </c>
      <c r="C283" s="2" t="n">
        <v>-0.023</v>
      </c>
      <c r="D283" s="2" t="n">
        <v>1.62</v>
      </c>
      <c r="E283" s="2" t="n">
        <v>0.068</v>
      </c>
      <c r="F283" s="2" t="n">
        <v>77</v>
      </c>
      <c r="G283" s="2" t="n">
        <v>92</v>
      </c>
      <c r="H283" s="2" t="n">
        <v>247</v>
      </c>
      <c r="I283" s="2" t="n">
        <v>44</v>
      </c>
      <c r="J283" s="2"/>
      <c r="K283" s="2" t="n">
        <v>1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1</v>
      </c>
      <c r="Q283" s="2" t="n">
        <v>1</v>
      </c>
      <c r="R283" s="2" t="n">
        <v>0</v>
      </c>
      <c r="S283" s="2" t="n">
        <f aca="false">A284-A283</f>
        <v>0.199999999999989</v>
      </c>
      <c r="T283" s="2" t="n">
        <f aca="false">C283+Summary!$C$8*D283</f>
        <v>0.10903</v>
      </c>
      <c r="U283" s="2" t="n">
        <f aca="false">B283*T283</f>
        <v>1.29320483</v>
      </c>
      <c r="V283" s="2" t="n">
        <f aca="false">B283*C283</f>
        <v>-0.272803</v>
      </c>
      <c r="W283" s="2" t="s">
        <v>72</v>
      </c>
      <c r="X283" s="2" t="s">
        <v>10</v>
      </c>
    </row>
    <row r="284" customFormat="false" ht="15" hidden="false" customHeight="false" outlineLevel="0" collapsed="false">
      <c r="A284" s="2" t="n">
        <v>231.26</v>
      </c>
      <c r="B284" s="2" t="n">
        <v>11.851</v>
      </c>
      <c r="C284" s="2" t="n">
        <v>-0.002</v>
      </c>
      <c r="D284" s="2" t="n">
        <v>1.371</v>
      </c>
      <c r="E284" s="2" t="n">
        <v>0.013</v>
      </c>
      <c r="F284" s="2" t="n">
        <v>77</v>
      </c>
      <c r="G284" s="2" t="n">
        <v>92</v>
      </c>
      <c r="H284" s="2" t="n">
        <v>31</v>
      </c>
      <c r="I284" s="2" t="n">
        <v>62</v>
      </c>
      <c r="J284" s="2"/>
      <c r="K284" s="2" t="n">
        <v>1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1</v>
      </c>
      <c r="Q284" s="2" t="n">
        <v>1</v>
      </c>
      <c r="R284" s="2" t="n">
        <v>0</v>
      </c>
      <c r="S284" s="2" t="n">
        <f aca="false">A285-A284</f>
        <v>0.200000000000017</v>
      </c>
      <c r="T284" s="2" t="n">
        <f aca="false">C284+Summary!$C$8*D284</f>
        <v>0.1097365</v>
      </c>
      <c r="U284" s="2" t="n">
        <f aca="false">B284*T284</f>
        <v>1.3004872615</v>
      </c>
      <c r="V284" s="2" t="n">
        <f aca="false">B284*C284</f>
        <v>-0.023702</v>
      </c>
      <c r="W284" s="2" t="s">
        <v>72</v>
      </c>
      <c r="X284" s="2" t="s">
        <v>10</v>
      </c>
    </row>
    <row r="285" customFormat="false" ht="15" hidden="false" customHeight="false" outlineLevel="0" collapsed="false">
      <c r="A285" s="2" t="n">
        <v>231.46</v>
      </c>
      <c r="B285" s="2" t="n">
        <v>11.852</v>
      </c>
      <c r="C285" s="2" t="n">
        <v>0.009</v>
      </c>
      <c r="D285" s="2" t="n">
        <v>1.224</v>
      </c>
      <c r="E285" s="2" t="n">
        <v>0</v>
      </c>
      <c r="F285" s="2" t="n">
        <v>77</v>
      </c>
      <c r="G285" s="2" t="n">
        <v>93</v>
      </c>
      <c r="H285" s="2" t="n">
        <v>247</v>
      </c>
      <c r="I285" s="2" t="n">
        <v>45</v>
      </c>
      <c r="J285" s="2"/>
      <c r="K285" s="2" t="n">
        <v>1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</v>
      </c>
      <c r="Q285" s="2" t="n">
        <v>1</v>
      </c>
      <c r="R285" s="2" t="n">
        <v>0</v>
      </c>
      <c r="S285" s="2" t="n">
        <f aca="false">A286-A285</f>
        <v>0.199999999999989</v>
      </c>
      <c r="T285" s="2" t="n">
        <f aca="false">C285+Summary!$C$8*D285</f>
        <v>0.108756</v>
      </c>
      <c r="U285" s="2" t="n">
        <f aca="false">B285*T285</f>
        <v>1.288976112</v>
      </c>
      <c r="V285" s="2" t="n">
        <f aca="false">B285*C285</f>
        <v>0.106668</v>
      </c>
    </row>
    <row r="286" customFormat="false" ht="15" hidden="false" customHeight="false" outlineLevel="0" collapsed="false">
      <c r="A286" s="2" t="n">
        <v>231.66</v>
      </c>
      <c r="B286" s="2" t="n">
        <v>11.842</v>
      </c>
      <c r="C286" s="2" t="n">
        <v>0.028</v>
      </c>
      <c r="D286" s="2" t="n">
        <v>0.996</v>
      </c>
      <c r="E286" s="2" t="n">
        <v>0</v>
      </c>
      <c r="F286" s="2" t="n">
        <v>77</v>
      </c>
      <c r="G286" s="2" t="n">
        <v>92</v>
      </c>
      <c r="H286" s="2" t="n">
        <v>96</v>
      </c>
      <c r="I286" s="2" t="n">
        <v>62</v>
      </c>
      <c r="J286" s="2"/>
      <c r="K286" s="2" t="n">
        <v>1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</v>
      </c>
      <c r="Q286" s="2" t="n">
        <v>1</v>
      </c>
      <c r="R286" s="2" t="n">
        <v>0</v>
      </c>
      <c r="S286" s="2" t="n">
        <f aca="false">A287-A286</f>
        <v>0.200000000000017</v>
      </c>
      <c r="T286" s="2" t="n">
        <f aca="false">C286+Summary!$C$8*D286</f>
        <v>0.109174</v>
      </c>
      <c r="U286" s="2" t="n">
        <f aca="false">B286*T286</f>
        <v>1.292838508</v>
      </c>
      <c r="V286" s="2" t="n">
        <f aca="false">B286*C286</f>
        <v>0.331576</v>
      </c>
    </row>
    <row r="287" customFormat="false" ht="15" hidden="false" customHeight="false" outlineLevel="0" collapsed="false">
      <c r="A287" s="2" t="n">
        <v>231.86</v>
      </c>
      <c r="B287" s="2" t="n">
        <v>11.846</v>
      </c>
      <c r="C287" s="2" t="n">
        <v>0.024</v>
      </c>
      <c r="D287" s="2" t="n">
        <v>1.062</v>
      </c>
      <c r="E287" s="2" t="n">
        <v>0</v>
      </c>
      <c r="F287" s="2" t="n">
        <v>77</v>
      </c>
      <c r="G287" s="2" t="n">
        <v>92</v>
      </c>
      <c r="H287" s="2" t="n">
        <v>96</v>
      </c>
      <c r="I287" s="2" t="n">
        <v>45</v>
      </c>
      <c r="J287" s="2"/>
      <c r="K287" s="2" t="n">
        <v>1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1</v>
      </c>
      <c r="Q287" s="2" t="n">
        <v>1</v>
      </c>
      <c r="R287" s="2" t="n">
        <v>0</v>
      </c>
      <c r="S287" s="2" t="n">
        <f aca="false">A288-A287</f>
        <v>0.199999999999989</v>
      </c>
      <c r="T287" s="2" t="n">
        <f aca="false">C287+Summary!$C$8*D287</f>
        <v>0.110553</v>
      </c>
      <c r="U287" s="2" t="n">
        <f aca="false">B287*T287</f>
        <v>1.309610838</v>
      </c>
      <c r="V287" s="2" t="n">
        <f aca="false">B287*C287</f>
        <v>0.284304</v>
      </c>
    </row>
    <row r="288" customFormat="false" ht="15" hidden="false" customHeight="false" outlineLevel="0" collapsed="false">
      <c r="A288" s="2" t="n">
        <v>232.06</v>
      </c>
      <c r="B288" s="2" t="n">
        <v>11.841</v>
      </c>
      <c r="C288" s="2" t="n">
        <v>0.022</v>
      </c>
      <c r="D288" s="2" t="n">
        <v>1.08</v>
      </c>
      <c r="E288" s="2" t="n">
        <v>0</v>
      </c>
      <c r="F288" s="2" t="n">
        <v>77</v>
      </c>
      <c r="G288" s="2" t="n">
        <v>92</v>
      </c>
      <c r="H288" s="2" t="n">
        <v>32</v>
      </c>
      <c r="I288" s="2" t="n">
        <v>45</v>
      </c>
      <c r="J288" s="2"/>
      <c r="K288" s="2" t="n">
        <v>1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1</v>
      </c>
      <c r="Q288" s="2" t="n">
        <v>1</v>
      </c>
      <c r="R288" s="2" t="n">
        <v>0</v>
      </c>
      <c r="S288" s="2" t="n">
        <f aca="false">A289-A288</f>
        <v>0.199999999999989</v>
      </c>
      <c r="T288" s="2" t="n">
        <f aca="false">C288+Summary!$C$8*D288</f>
        <v>0.11002</v>
      </c>
      <c r="U288" s="2" t="n">
        <f aca="false">B288*T288</f>
        <v>1.30274682</v>
      </c>
      <c r="V288" s="2" t="n">
        <f aca="false">B288*C288</f>
        <v>0.260502</v>
      </c>
    </row>
    <row r="289" customFormat="false" ht="15" hidden="false" customHeight="false" outlineLevel="0" collapsed="false">
      <c r="A289" s="2" t="n">
        <v>232.26</v>
      </c>
      <c r="B289" s="2" t="n">
        <v>11.842</v>
      </c>
      <c r="C289" s="2" t="n">
        <v>0.031</v>
      </c>
      <c r="D289" s="2" t="n">
        <v>0.958</v>
      </c>
      <c r="E289" s="2" t="n">
        <v>0</v>
      </c>
      <c r="F289" s="2" t="n">
        <v>77</v>
      </c>
      <c r="G289" s="2" t="n">
        <v>92</v>
      </c>
      <c r="H289" s="2" t="n">
        <v>98</v>
      </c>
      <c r="I289" s="2" t="n">
        <v>62</v>
      </c>
      <c r="J289" s="2"/>
      <c r="K289" s="2" t="n">
        <v>1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1</v>
      </c>
      <c r="Q289" s="2" t="n">
        <v>1</v>
      </c>
      <c r="R289" s="2" t="n">
        <v>0</v>
      </c>
      <c r="S289" s="2" t="n">
        <f aca="false">A290-A289</f>
        <v>0.200000000000017</v>
      </c>
      <c r="T289" s="2" t="n">
        <f aca="false">C289+Summary!$C$8*D289</f>
        <v>0.109077</v>
      </c>
      <c r="U289" s="2" t="n">
        <f aca="false">B289*T289</f>
        <v>1.291689834</v>
      </c>
      <c r="V289" s="2" t="n">
        <f aca="false">B289*C289</f>
        <v>0.367102</v>
      </c>
    </row>
    <row r="290" customFormat="false" ht="15" hidden="false" customHeight="false" outlineLevel="0" collapsed="false">
      <c r="A290" s="2" t="n">
        <v>232.46</v>
      </c>
      <c r="B290" s="2" t="n">
        <v>11.839</v>
      </c>
      <c r="C290" s="2" t="n">
        <v>0.039</v>
      </c>
      <c r="D290" s="2" t="n">
        <v>0.876</v>
      </c>
      <c r="E290" s="2" t="n">
        <v>0</v>
      </c>
      <c r="F290" s="2" t="n">
        <v>77</v>
      </c>
      <c r="G290" s="2" t="n">
        <v>92</v>
      </c>
      <c r="H290" s="2" t="n">
        <v>246</v>
      </c>
      <c r="I290" s="2" t="n">
        <v>62</v>
      </c>
      <c r="J290" s="2"/>
      <c r="K290" s="2" t="n">
        <v>1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1</v>
      </c>
      <c r="Q290" s="2" t="n">
        <v>1</v>
      </c>
      <c r="R290" s="2" t="n">
        <v>0</v>
      </c>
      <c r="S290" s="2" t="n">
        <f aca="false">A291-A290</f>
        <v>0.199999999999989</v>
      </c>
      <c r="T290" s="2" t="n">
        <f aca="false">C290+Summary!$C$8*D290</f>
        <v>0.110394</v>
      </c>
      <c r="U290" s="2" t="n">
        <f aca="false">B290*T290</f>
        <v>1.306954566</v>
      </c>
      <c r="V290" s="2" t="n">
        <f aca="false">B290*C290</f>
        <v>0.461721</v>
      </c>
    </row>
    <row r="291" customFormat="false" ht="15" hidden="false" customHeight="false" outlineLevel="0" collapsed="false">
      <c r="A291" s="2" t="n">
        <v>232.66</v>
      </c>
      <c r="B291" s="2" t="n">
        <v>11.836</v>
      </c>
      <c r="C291" s="2" t="n">
        <v>0.079</v>
      </c>
      <c r="D291" s="2" t="n">
        <v>0.827</v>
      </c>
      <c r="E291" s="2" t="n">
        <v>0</v>
      </c>
      <c r="F291" s="2" t="n">
        <v>77</v>
      </c>
      <c r="G291" s="2" t="n">
        <v>93</v>
      </c>
      <c r="H291" s="2" t="n">
        <v>98</v>
      </c>
      <c r="I291" s="2" t="n">
        <v>63</v>
      </c>
      <c r="J291" s="2"/>
      <c r="K291" s="2" t="n">
        <v>1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1</v>
      </c>
      <c r="Q291" s="2" t="n">
        <v>1</v>
      </c>
      <c r="R291" s="2" t="n">
        <v>0</v>
      </c>
      <c r="S291" s="2" t="n">
        <f aca="false">A292-A291</f>
        <v>0.200000000000017</v>
      </c>
      <c r="T291" s="2" t="n">
        <f aca="false">C291+Summary!$C$8*D291</f>
        <v>0.1464005</v>
      </c>
      <c r="U291" s="2" t="n">
        <f aca="false">B291*T291</f>
        <v>1.732796318</v>
      </c>
      <c r="V291" s="2" t="n">
        <f aca="false">B291*C291</f>
        <v>0.935044</v>
      </c>
    </row>
    <row r="292" customFormat="false" ht="15" hidden="false" customHeight="false" outlineLevel="0" collapsed="false">
      <c r="A292" s="2" t="n">
        <v>232.86</v>
      </c>
      <c r="B292" s="2" t="n">
        <v>11.842</v>
      </c>
      <c r="C292" s="2" t="n">
        <v>0.029</v>
      </c>
      <c r="D292" s="2" t="n">
        <v>0.989</v>
      </c>
      <c r="E292" s="2" t="n">
        <v>0</v>
      </c>
      <c r="F292" s="2" t="n">
        <v>77</v>
      </c>
      <c r="G292" s="2" t="n">
        <v>93</v>
      </c>
      <c r="H292" s="2" t="n">
        <v>31</v>
      </c>
      <c r="I292" s="2" t="n">
        <v>62</v>
      </c>
      <c r="J292" s="2"/>
      <c r="K292" s="2" t="n">
        <v>1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1</v>
      </c>
      <c r="Q292" s="2" t="n">
        <v>1</v>
      </c>
      <c r="R292" s="2" t="n">
        <v>0</v>
      </c>
      <c r="S292" s="2" t="n">
        <f aca="false">A293-A292</f>
        <v>0.199999999999989</v>
      </c>
      <c r="T292" s="2" t="n">
        <f aca="false">C292+Summary!$C$8*D292</f>
        <v>0.1096035</v>
      </c>
      <c r="U292" s="2" t="n">
        <f aca="false">B292*T292</f>
        <v>1.297924647</v>
      </c>
      <c r="V292" s="2" t="n">
        <f aca="false">B292*C292</f>
        <v>0.343418</v>
      </c>
    </row>
    <row r="293" customFormat="false" ht="15" hidden="false" customHeight="false" outlineLevel="0" collapsed="false">
      <c r="A293" s="2" t="n">
        <v>233.06</v>
      </c>
      <c r="B293" s="2" t="n">
        <v>11.852</v>
      </c>
      <c r="C293" s="2" t="n">
        <v>0.004</v>
      </c>
      <c r="D293" s="2" t="n">
        <v>1.282</v>
      </c>
      <c r="E293" s="2" t="n">
        <v>0</v>
      </c>
      <c r="F293" s="2" t="n">
        <v>77</v>
      </c>
      <c r="G293" s="2" t="n">
        <v>93</v>
      </c>
      <c r="H293" s="2" t="n">
        <v>99</v>
      </c>
      <c r="I293" s="2" t="n">
        <v>62</v>
      </c>
      <c r="J293" s="2"/>
      <c r="K293" s="2" t="n">
        <v>1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1</v>
      </c>
      <c r="Q293" s="2" t="n">
        <v>1</v>
      </c>
      <c r="R293" s="2" t="n">
        <v>0</v>
      </c>
      <c r="S293" s="2" t="n">
        <f aca="false">A294-A293</f>
        <v>0.199999999999989</v>
      </c>
      <c r="T293" s="2" t="n">
        <f aca="false">C293+Summary!$C$8*D293</f>
        <v>0.108483</v>
      </c>
      <c r="U293" s="2" t="n">
        <f aca="false">B293*T293</f>
        <v>1.285740516</v>
      </c>
      <c r="V293" s="2" t="n">
        <f aca="false">B293*C293</f>
        <v>0.047408</v>
      </c>
    </row>
    <row r="294" customFormat="false" ht="15" hidden="false" customHeight="false" outlineLevel="0" collapsed="false">
      <c r="A294" s="2" t="n">
        <v>233.26</v>
      </c>
      <c r="B294" s="2" t="n">
        <v>11.848</v>
      </c>
      <c r="C294" s="2" t="n">
        <v>0.007</v>
      </c>
      <c r="D294" s="2" t="n">
        <v>1.255</v>
      </c>
      <c r="E294" s="2" t="n">
        <v>0</v>
      </c>
      <c r="F294" s="2" t="n">
        <v>77</v>
      </c>
      <c r="G294" s="2" t="n">
        <v>92</v>
      </c>
      <c r="H294" s="2" t="n">
        <v>98</v>
      </c>
      <c r="I294" s="2" t="n">
        <v>62</v>
      </c>
      <c r="J294" s="2"/>
      <c r="K294" s="2" t="n">
        <v>1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1</v>
      </c>
      <c r="Q294" s="2" t="n">
        <v>1</v>
      </c>
      <c r="R294" s="2" t="n">
        <v>0</v>
      </c>
      <c r="S294" s="2" t="n">
        <f aca="false">A295-A294</f>
        <v>0.200000000000017</v>
      </c>
      <c r="T294" s="2" t="n">
        <f aca="false">C294+Summary!$C$8*D294</f>
        <v>0.1092825</v>
      </c>
      <c r="U294" s="2" t="n">
        <f aca="false">B294*T294</f>
        <v>1.29477906</v>
      </c>
      <c r="V294" s="2" t="n">
        <f aca="false">B294*C294</f>
        <v>0.082936</v>
      </c>
    </row>
    <row r="295" customFormat="false" ht="15" hidden="false" customHeight="false" outlineLevel="0" collapsed="false">
      <c r="A295" s="2" t="n">
        <v>233.46</v>
      </c>
      <c r="B295" s="2" t="n">
        <v>11.845</v>
      </c>
      <c r="C295" s="2" t="n">
        <v>0.018</v>
      </c>
      <c r="D295" s="2" t="n">
        <v>1.114</v>
      </c>
      <c r="E295" s="2" t="n">
        <v>0</v>
      </c>
      <c r="F295" s="2" t="n">
        <v>77</v>
      </c>
      <c r="G295" s="2" t="n">
        <v>93</v>
      </c>
      <c r="H295" s="2" t="n">
        <v>31</v>
      </c>
      <c r="I295" s="2" t="n">
        <v>46</v>
      </c>
      <c r="J295" s="2"/>
      <c r="K295" s="2" t="n">
        <v>1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1</v>
      </c>
      <c r="Q295" s="2" t="n">
        <v>1</v>
      </c>
      <c r="R295" s="2" t="n">
        <v>0</v>
      </c>
      <c r="S295" s="2" t="n">
        <f aca="false">A296-A295</f>
        <v>0.199999999999989</v>
      </c>
      <c r="T295" s="2" t="n">
        <f aca="false">C295+Summary!$C$8*D295</f>
        <v>0.108791</v>
      </c>
      <c r="U295" s="2" t="n">
        <f aca="false">B295*T295</f>
        <v>1.288629395</v>
      </c>
      <c r="V295" s="2" t="n">
        <f aca="false">B295*C295</f>
        <v>0.21321</v>
      </c>
    </row>
    <row r="296" customFormat="false" ht="15" hidden="false" customHeight="false" outlineLevel="0" collapsed="false">
      <c r="A296" s="2" t="n">
        <v>233.66</v>
      </c>
      <c r="B296" s="2" t="n">
        <v>11.843</v>
      </c>
      <c r="C296" s="2" t="n">
        <v>0.033</v>
      </c>
      <c r="D296" s="2" t="n">
        <v>0.923</v>
      </c>
      <c r="E296" s="2" t="n">
        <v>0</v>
      </c>
      <c r="F296" s="2" t="n">
        <v>77</v>
      </c>
      <c r="G296" s="2" t="n">
        <v>93</v>
      </c>
      <c r="H296" s="2" t="n">
        <v>97</v>
      </c>
      <c r="I296" s="2" t="n">
        <v>62</v>
      </c>
      <c r="J296" s="2"/>
      <c r="K296" s="2" t="n">
        <v>1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1</v>
      </c>
      <c r="Q296" s="2" t="n">
        <v>1</v>
      </c>
      <c r="R296" s="2" t="n">
        <v>0</v>
      </c>
      <c r="S296" s="2" t="n">
        <f aca="false">A297-A296</f>
        <v>0.200000000000017</v>
      </c>
      <c r="T296" s="2" t="n">
        <f aca="false">C296+Summary!$C$8*D296</f>
        <v>0.1082245</v>
      </c>
      <c r="U296" s="2" t="n">
        <f aca="false">B296*T296</f>
        <v>1.2817027535</v>
      </c>
      <c r="V296" s="2" t="n">
        <f aca="false">B296*C296</f>
        <v>0.390819</v>
      </c>
    </row>
    <row r="297" customFormat="false" ht="15" hidden="false" customHeight="false" outlineLevel="0" collapsed="false">
      <c r="A297" s="2" t="n">
        <v>233.86</v>
      </c>
      <c r="B297" s="2" t="n">
        <v>11.842</v>
      </c>
      <c r="C297" s="2" t="n">
        <v>0.029</v>
      </c>
      <c r="D297" s="2" t="n">
        <v>1.008</v>
      </c>
      <c r="E297" s="2" t="n">
        <v>0</v>
      </c>
      <c r="F297" s="2" t="n">
        <v>77</v>
      </c>
      <c r="G297" s="2" t="n">
        <v>93</v>
      </c>
      <c r="H297" s="2" t="n">
        <v>98</v>
      </c>
      <c r="I297" s="2" t="n">
        <v>46</v>
      </c>
      <c r="J297" s="2"/>
      <c r="K297" s="2" t="n">
        <v>1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1</v>
      </c>
      <c r="Q297" s="2" t="n">
        <v>1</v>
      </c>
      <c r="R297" s="2" t="n">
        <v>0</v>
      </c>
      <c r="S297" s="2" t="n">
        <f aca="false">A298-A297</f>
        <v>0.199999999999989</v>
      </c>
      <c r="T297" s="2" t="n">
        <f aca="false">C297+Summary!$C$8*D297</f>
        <v>0.111152</v>
      </c>
      <c r="U297" s="2" t="n">
        <f aca="false">B297*T297</f>
        <v>1.316261984</v>
      </c>
      <c r="V297" s="2" t="n">
        <f aca="false">B297*C297</f>
        <v>0.343418</v>
      </c>
    </row>
    <row r="298" customFormat="false" ht="15" hidden="false" customHeight="false" outlineLevel="0" collapsed="false">
      <c r="A298" s="2" t="n">
        <v>234.06</v>
      </c>
      <c r="B298" s="2" t="n">
        <v>11.855</v>
      </c>
      <c r="C298" s="2" t="n">
        <v>-0.002</v>
      </c>
      <c r="D298" s="2" t="n">
        <v>1.37</v>
      </c>
      <c r="E298" s="2" t="n">
        <v>0</v>
      </c>
      <c r="F298" s="2" t="n">
        <v>77</v>
      </c>
      <c r="G298" s="2" t="n">
        <v>93</v>
      </c>
      <c r="H298" s="2" t="n">
        <v>97</v>
      </c>
      <c r="I298" s="2" t="n">
        <v>62</v>
      </c>
      <c r="J298" s="2"/>
      <c r="K298" s="2" t="n">
        <v>1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1</v>
      </c>
      <c r="Q298" s="2" t="n">
        <v>1</v>
      </c>
      <c r="R298" s="2" t="n">
        <v>0</v>
      </c>
      <c r="S298" s="2" t="n">
        <f aca="false">A299-A298</f>
        <v>0.199999999999989</v>
      </c>
      <c r="T298" s="2" t="n">
        <f aca="false">C298+Summary!$C$8*D298</f>
        <v>0.109655</v>
      </c>
      <c r="U298" s="2" t="n">
        <f aca="false">B298*T298</f>
        <v>1.299960025</v>
      </c>
      <c r="V298" s="2" t="n">
        <f aca="false">B298*C298</f>
        <v>-0.02371</v>
      </c>
    </row>
    <row r="299" customFormat="false" ht="15" hidden="false" customHeight="false" outlineLevel="0" collapsed="false">
      <c r="A299" s="2" t="n">
        <v>234.26</v>
      </c>
      <c r="B299" s="2" t="n">
        <v>11.861</v>
      </c>
      <c r="C299" s="2" t="n">
        <v>-0.019</v>
      </c>
      <c r="D299" s="2" t="n">
        <v>1.587</v>
      </c>
      <c r="E299" s="2" t="n">
        <v>0</v>
      </c>
      <c r="F299" s="2" t="n">
        <v>77</v>
      </c>
      <c r="G299" s="2" t="n">
        <v>93</v>
      </c>
      <c r="H299" s="2" t="n">
        <v>98</v>
      </c>
      <c r="I299" s="2" t="n">
        <v>62</v>
      </c>
      <c r="J299" s="2"/>
      <c r="K299" s="2" t="n">
        <v>1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1</v>
      </c>
      <c r="Q299" s="2" t="n">
        <v>1</v>
      </c>
      <c r="R299" s="2" t="n">
        <v>0</v>
      </c>
      <c r="S299" s="2" t="n">
        <f aca="false">A300-A299</f>
        <v>0.200000000000017</v>
      </c>
      <c r="T299" s="2" t="n">
        <f aca="false">C299+Summary!$C$8*D299</f>
        <v>0.1103405</v>
      </c>
      <c r="U299" s="2" t="n">
        <f aca="false">B299*T299</f>
        <v>1.3087486705</v>
      </c>
      <c r="V299" s="2" t="n">
        <f aca="false">B299*C299</f>
        <v>-0.225359</v>
      </c>
    </row>
    <row r="300" customFormat="false" ht="15" hidden="false" customHeight="false" outlineLevel="0" collapsed="false">
      <c r="A300" s="2" t="n">
        <v>234.46</v>
      </c>
      <c r="B300" s="2" t="n">
        <v>11.855</v>
      </c>
      <c r="C300" s="2" t="n">
        <v>-0.001</v>
      </c>
      <c r="D300" s="2" t="n">
        <v>1.361</v>
      </c>
      <c r="E300" s="2" t="n">
        <v>0</v>
      </c>
      <c r="F300" s="2" t="n">
        <v>77</v>
      </c>
      <c r="G300" s="2" t="n">
        <v>92</v>
      </c>
      <c r="H300" s="2" t="n">
        <v>98</v>
      </c>
      <c r="I300" s="2" t="n">
        <v>62</v>
      </c>
      <c r="J300" s="2"/>
      <c r="K300" s="2" t="n">
        <v>1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1</v>
      </c>
      <c r="Q300" s="2" t="n">
        <v>1</v>
      </c>
      <c r="R300" s="2" t="n">
        <v>0</v>
      </c>
      <c r="S300" s="2" t="n">
        <f aca="false">A301-A300</f>
        <v>0.199999999999989</v>
      </c>
      <c r="T300" s="2" t="n">
        <f aca="false">C300+Summary!$C$8*D300</f>
        <v>0.1099215</v>
      </c>
      <c r="U300" s="2" t="n">
        <f aca="false">B300*T300</f>
        <v>1.3031193825</v>
      </c>
      <c r="V300" s="2" t="n">
        <f aca="false">B300*C300</f>
        <v>-0.011855</v>
      </c>
    </row>
    <row r="301" customFormat="false" ht="15" hidden="false" customHeight="false" outlineLevel="0" collapsed="false">
      <c r="A301" s="2" t="n">
        <v>234.66</v>
      </c>
      <c r="B301" s="2" t="n">
        <v>11.853</v>
      </c>
      <c r="C301" s="2" t="n">
        <v>0.01</v>
      </c>
      <c r="D301" s="2" t="n">
        <v>1.216</v>
      </c>
      <c r="E301" s="2" t="n">
        <v>0</v>
      </c>
      <c r="F301" s="2" t="n">
        <v>77</v>
      </c>
      <c r="G301" s="2" t="n">
        <v>93</v>
      </c>
      <c r="H301" s="2" t="n">
        <v>98</v>
      </c>
      <c r="I301" s="2" t="n">
        <v>62</v>
      </c>
      <c r="J301" s="2"/>
      <c r="K301" s="2" t="n">
        <v>1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1</v>
      </c>
      <c r="Q301" s="2" t="n">
        <v>1</v>
      </c>
      <c r="R301" s="2" t="n">
        <v>0</v>
      </c>
      <c r="S301" s="2" t="n">
        <f aca="false">A302-A301</f>
        <v>0.200000000000017</v>
      </c>
      <c r="T301" s="2" t="n">
        <f aca="false">C301+Summary!$C$8*D301</f>
        <v>0.109104</v>
      </c>
      <c r="U301" s="2" t="n">
        <f aca="false">B301*T301</f>
        <v>1.293209712</v>
      </c>
      <c r="V301" s="2" t="n">
        <f aca="false">B301*C301</f>
        <v>0.11853</v>
      </c>
    </row>
    <row r="302" customFormat="false" ht="15" hidden="false" customHeight="false" outlineLevel="0" collapsed="false">
      <c r="A302" s="2" t="n">
        <v>234.86</v>
      </c>
      <c r="B302" s="2" t="n">
        <v>11.837</v>
      </c>
      <c r="C302" s="2" t="n">
        <v>0.059</v>
      </c>
      <c r="D302" s="2" t="n">
        <v>0.274</v>
      </c>
      <c r="E302" s="2" t="n">
        <v>0</v>
      </c>
      <c r="F302" s="2" t="n">
        <v>77</v>
      </c>
      <c r="G302" s="2" t="n">
        <v>93</v>
      </c>
      <c r="H302" s="2" t="n">
        <v>31</v>
      </c>
      <c r="I302" s="2" t="n">
        <v>62</v>
      </c>
      <c r="J302" s="2"/>
      <c r="K302" s="2" t="n">
        <v>1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1</v>
      </c>
      <c r="Q302" s="2" t="n">
        <v>1</v>
      </c>
      <c r="R302" s="2" t="n">
        <v>0</v>
      </c>
      <c r="S302" s="2" t="n">
        <f aca="false">A303-A302</f>
        <v>0.199999999999989</v>
      </c>
      <c r="T302" s="2" t="n">
        <f aca="false">C302+Summary!$C$8*D302</f>
        <v>0.081331</v>
      </c>
      <c r="U302" s="2" t="n">
        <f aca="false">B302*T302</f>
        <v>0.962715047</v>
      </c>
      <c r="V302" s="2" t="n">
        <f aca="false">B302*C302</f>
        <v>0.698383</v>
      </c>
    </row>
    <row r="303" customFormat="false" ht="15" hidden="false" customHeight="false" outlineLevel="0" collapsed="false">
      <c r="A303" s="2" t="n">
        <v>235.06</v>
      </c>
      <c r="B303" s="2" t="n">
        <v>11.818</v>
      </c>
      <c r="C303" s="2" t="n">
        <v>0.105</v>
      </c>
      <c r="D303" s="2" t="n">
        <v>0.081</v>
      </c>
      <c r="E303" s="2" t="n">
        <v>0</v>
      </c>
      <c r="F303" s="2" t="n">
        <v>77</v>
      </c>
      <c r="G303" s="2" t="n">
        <v>94</v>
      </c>
      <c r="H303" s="2" t="n">
        <v>97</v>
      </c>
      <c r="I303" s="2" t="n">
        <v>62</v>
      </c>
      <c r="J303" s="2"/>
      <c r="K303" s="2" t="n">
        <v>1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1</v>
      </c>
      <c r="Q303" s="2" t="n">
        <v>1</v>
      </c>
      <c r="R303" s="2" t="n">
        <v>0</v>
      </c>
      <c r="S303" s="2" t="n">
        <f aca="false">A304-A303</f>
        <v>0.199999999999989</v>
      </c>
      <c r="T303" s="2" t="n">
        <f aca="false">C303+Summary!$C$8*D303</f>
        <v>0.1116015</v>
      </c>
      <c r="U303" s="2" t="n">
        <f aca="false">B303*T303</f>
        <v>1.318906527</v>
      </c>
      <c r="V303" s="2" t="n">
        <f aca="false">B303*C303</f>
        <v>1.24089</v>
      </c>
    </row>
    <row r="304" customFormat="false" ht="15" hidden="false" customHeight="false" outlineLevel="0" collapsed="false">
      <c r="A304" s="2" t="n">
        <v>235.26</v>
      </c>
      <c r="B304" s="2" t="n">
        <v>11.818</v>
      </c>
      <c r="C304" s="2" t="n">
        <v>0.109</v>
      </c>
      <c r="D304" s="2" t="n">
        <v>0.026</v>
      </c>
      <c r="E304" s="2" t="n">
        <v>0</v>
      </c>
      <c r="F304" s="2" t="n">
        <v>77</v>
      </c>
      <c r="G304" s="2" t="n">
        <v>8</v>
      </c>
      <c r="H304" s="2" t="n">
        <v>97</v>
      </c>
      <c r="I304" s="2" t="n">
        <v>62</v>
      </c>
      <c r="J304" s="2"/>
      <c r="K304" s="2" t="n">
        <v>1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1</v>
      </c>
      <c r="Q304" s="2" t="n">
        <v>1</v>
      </c>
      <c r="R304" s="2" t="n">
        <v>0</v>
      </c>
      <c r="S304" s="2" t="n">
        <f aca="false">A305-A304</f>
        <v>0.200000000000017</v>
      </c>
      <c r="T304" s="2" t="n">
        <f aca="false">C304+Summary!$C$8*D304</f>
        <v>0.111119</v>
      </c>
      <c r="U304" s="2" t="n">
        <f aca="false">B304*T304</f>
        <v>1.313204342</v>
      </c>
      <c r="V304" s="2" t="n">
        <f aca="false">B304*C304</f>
        <v>1.288162</v>
      </c>
    </row>
    <row r="305" customFormat="false" ht="15" hidden="false" customHeight="false" outlineLevel="0" collapsed="false">
      <c r="A305" s="2" t="n">
        <v>235.46</v>
      </c>
      <c r="B305" s="2" t="n">
        <v>11.815</v>
      </c>
      <c r="C305" s="2" t="n">
        <v>0.111</v>
      </c>
      <c r="D305" s="2" t="n">
        <v>0.002</v>
      </c>
      <c r="E305" s="2" t="n">
        <v>0</v>
      </c>
      <c r="F305" s="2" t="n">
        <v>77</v>
      </c>
      <c r="G305" s="2" t="n">
        <v>6</v>
      </c>
      <c r="H305" s="2" t="n">
        <v>30</v>
      </c>
      <c r="I305" s="2" t="n">
        <v>45</v>
      </c>
      <c r="J305" s="2"/>
      <c r="K305" s="2" t="n">
        <v>1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1</v>
      </c>
      <c r="Q305" s="2" t="n">
        <v>1</v>
      </c>
      <c r="R305" s="2" t="n">
        <v>0</v>
      </c>
      <c r="S305" s="2" t="n">
        <f aca="false">A306-A305</f>
        <v>0.199999999999989</v>
      </c>
      <c r="T305" s="2" t="n">
        <f aca="false">C305+Summary!$C$8*D305</f>
        <v>0.111163</v>
      </c>
      <c r="U305" s="2" t="n">
        <f aca="false">B305*T305</f>
        <v>1.313390845</v>
      </c>
      <c r="V305" s="2" t="n">
        <f aca="false">B305*C305</f>
        <v>1.311465</v>
      </c>
    </row>
    <row r="306" customFormat="false" ht="15" hidden="false" customHeight="false" outlineLevel="0" collapsed="false">
      <c r="A306" s="2" t="n">
        <v>235.66</v>
      </c>
      <c r="B306" s="2" t="n">
        <v>11.815</v>
      </c>
      <c r="C306" s="2" t="n">
        <v>0.112</v>
      </c>
      <c r="D306" s="2" t="n">
        <v>0</v>
      </c>
      <c r="E306" s="2" t="n">
        <v>0</v>
      </c>
      <c r="F306" s="2" t="n">
        <v>77</v>
      </c>
      <c r="G306" s="2" t="n">
        <v>5</v>
      </c>
      <c r="H306" s="2" t="n">
        <v>400</v>
      </c>
      <c r="I306" s="2" t="n">
        <v>83</v>
      </c>
      <c r="J306" s="2"/>
      <c r="K306" s="2" t="n">
        <v>1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1</v>
      </c>
      <c r="Q306" s="2" t="n">
        <v>1</v>
      </c>
      <c r="R306" s="2" t="n">
        <v>0</v>
      </c>
      <c r="S306" s="2" t="n">
        <f aca="false">A307-A306</f>
        <v>0.200000000000017</v>
      </c>
      <c r="T306" s="2" t="n">
        <f aca="false">C306+Summary!$C$8*D306</f>
        <v>0.112</v>
      </c>
      <c r="U306" s="2" t="n">
        <f aca="false">B306*T306</f>
        <v>1.32328</v>
      </c>
      <c r="V306" s="2" t="n">
        <f aca="false">B306*C306</f>
        <v>1.32328</v>
      </c>
    </row>
    <row r="307" customFormat="false" ht="15" hidden="false" customHeight="false" outlineLevel="0" collapsed="false">
      <c r="A307" s="2" t="n">
        <v>235.86</v>
      </c>
      <c r="B307" s="2" t="n">
        <v>11.818</v>
      </c>
      <c r="C307" s="2" t="n">
        <v>0.106</v>
      </c>
      <c r="D307" s="2" t="n">
        <v>0.079</v>
      </c>
      <c r="E307" s="2" t="n">
        <v>0</v>
      </c>
      <c r="F307" s="2" t="n">
        <v>77</v>
      </c>
      <c r="G307" s="2" t="n">
        <v>6</v>
      </c>
      <c r="H307" s="2" t="n">
        <v>400</v>
      </c>
      <c r="I307" s="2" t="n">
        <v>72</v>
      </c>
      <c r="J307" s="2"/>
      <c r="K307" s="2" t="n">
        <v>1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1</v>
      </c>
      <c r="Q307" s="2" t="n">
        <v>1</v>
      </c>
      <c r="R307" s="2" t="n">
        <v>0</v>
      </c>
      <c r="S307" s="2" t="n">
        <f aca="false">A308-A307</f>
        <v>0.199999999999989</v>
      </c>
      <c r="T307" s="2" t="n">
        <f aca="false">C307+Summary!$C$8*D307</f>
        <v>0.1124385</v>
      </c>
      <c r="U307" s="2" t="n">
        <f aca="false">B307*T307</f>
        <v>1.328798193</v>
      </c>
      <c r="V307" s="2" t="n">
        <f aca="false">B307*C307</f>
        <v>1.252708</v>
      </c>
    </row>
    <row r="308" customFormat="false" ht="15" hidden="false" customHeight="false" outlineLevel="0" collapsed="false">
      <c r="A308" s="2" t="n">
        <v>236.06</v>
      </c>
      <c r="B308" s="2" t="n">
        <v>11.818</v>
      </c>
      <c r="C308" s="2" t="n">
        <v>0.102</v>
      </c>
      <c r="D308" s="2" t="n">
        <v>0.109</v>
      </c>
      <c r="E308" s="2" t="n">
        <v>0</v>
      </c>
      <c r="F308" s="2" t="n">
        <v>77</v>
      </c>
      <c r="G308" s="2" t="n">
        <v>5</v>
      </c>
      <c r="H308" s="2" t="n">
        <v>400</v>
      </c>
      <c r="I308" s="2" t="n">
        <v>267</v>
      </c>
      <c r="J308" s="2"/>
      <c r="K308" s="2" t="n">
        <v>1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1</v>
      </c>
      <c r="Q308" s="2" t="n">
        <v>1</v>
      </c>
      <c r="R308" s="2" t="n">
        <v>0</v>
      </c>
      <c r="S308" s="2" t="n">
        <f aca="false">A309-A308</f>
        <v>0.199999999999989</v>
      </c>
      <c r="T308" s="2" t="n">
        <f aca="false">C308+Summary!$C$8*D308</f>
        <v>0.1108835</v>
      </c>
      <c r="U308" s="2" t="n">
        <f aca="false">B308*T308</f>
        <v>1.310421203</v>
      </c>
      <c r="V308" s="2" t="n">
        <f aca="false">B308*C308</f>
        <v>1.205436</v>
      </c>
    </row>
    <row r="309" customFormat="false" ht="15" hidden="false" customHeight="false" outlineLevel="0" collapsed="false">
      <c r="A309" s="2" t="n">
        <v>236.26</v>
      </c>
      <c r="B309" s="2" t="n">
        <v>11.818</v>
      </c>
      <c r="C309" s="2" t="n">
        <v>0.104</v>
      </c>
      <c r="D309" s="2" t="n">
        <v>0.095</v>
      </c>
      <c r="E309" s="2" t="n">
        <v>0</v>
      </c>
      <c r="F309" s="2" t="n">
        <v>77</v>
      </c>
      <c r="G309" s="2" t="n">
        <v>4</v>
      </c>
      <c r="H309" s="2" t="n">
        <v>400</v>
      </c>
      <c r="I309" s="2" t="n">
        <v>275</v>
      </c>
      <c r="J309" s="2"/>
      <c r="K309" s="2" t="n">
        <v>1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</v>
      </c>
      <c r="Q309" s="2" t="n">
        <v>1</v>
      </c>
      <c r="R309" s="2" t="n">
        <v>0</v>
      </c>
      <c r="S309" s="2" t="n">
        <f aca="false">A310-A309</f>
        <v>0.200000000000017</v>
      </c>
      <c r="T309" s="2" t="n">
        <f aca="false">C309+Summary!$C$8*D309</f>
        <v>0.1117425</v>
      </c>
      <c r="U309" s="2" t="n">
        <f aca="false">B309*T309</f>
        <v>1.320572865</v>
      </c>
      <c r="V309" s="2" t="n">
        <f aca="false">B309*C309</f>
        <v>1.229072</v>
      </c>
    </row>
    <row r="310" customFormat="false" ht="15" hidden="false" customHeight="false" outlineLevel="0" collapsed="false">
      <c r="A310" s="2" t="n">
        <v>236.46</v>
      </c>
      <c r="B310" s="2" t="n">
        <v>11.818</v>
      </c>
      <c r="C310" s="2" t="n">
        <v>0.105</v>
      </c>
      <c r="D310" s="2" t="n">
        <v>0.076</v>
      </c>
      <c r="E310" s="2" t="n">
        <v>0</v>
      </c>
      <c r="F310" s="2" t="n">
        <v>77</v>
      </c>
      <c r="G310" s="2" t="n">
        <v>5</v>
      </c>
      <c r="H310" s="2" t="n">
        <v>400</v>
      </c>
      <c r="I310" s="2" t="n">
        <v>400</v>
      </c>
      <c r="J310" s="2"/>
      <c r="K310" s="2" t="n">
        <v>1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</v>
      </c>
      <c r="Q310" s="2" t="n">
        <v>1</v>
      </c>
      <c r="R310" s="2" t="n">
        <v>0</v>
      </c>
      <c r="S310" s="2" t="n">
        <f aca="false">A311-A310</f>
        <v>0.199999999999989</v>
      </c>
      <c r="T310" s="2" t="n">
        <f aca="false">C310+Summary!$C$8*D310</f>
        <v>0.111194</v>
      </c>
      <c r="U310" s="2" t="n">
        <f aca="false">B310*T310</f>
        <v>1.314090692</v>
      </c>
      <c r="V310" s="2" t="n">
        <f aca="false">B310*C310</f>
        <v>1.24089</v>
      </c>
    </row>
    <row r="311" customFormat="false" ht="15" hidden="false" customHeight="false" outlineLevel="0" collapsed="false">
      <c r="A311" s="2" t="n">
        <v>236.66</v>
      </c>
      <c r="B311" s="2" t="n">
        <v>11.814</v>
      </c>
      <c r="C311" s="2" t="n">
        <v>0.101</v>
      </c>
      <c r="D311" s="2" t="n">
        <v>0.115</v>
      </c>
      <c r="E311" s="2" t="n">
        <v>0</v>
      </c>
      <c r="F311" s="2" t="n">
        <v>77</v>
      </c>
      <c r="G311" s="2" t="n">
        <v>7</v>
      </c>
      <c r="H311" s="2" t="n">
        <v>400</v>
      </c>
      <c r="I311" s="2" t="n">
        <v>9</v>
      </c>
      <c r="J311" s="2"/>
      <c r="K311" s="2" t="n">
        <v>1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1</v>
      </c>
      <c r="Q311" s="2" t="n">
        <v>1</v>
      </c>
      <c r="R311" s="2" t="n">
        <v>0</v>
      </c>
      <c r="S311" s="2" t="n">
        <f aca="false">A312-A311</f>
        <v>0.200000000000017</v>
      </c>
      <c r="T311" s="2" t="n">
        <f aca="false">C311+Summary!$C$8*D311</f>
        <v>0.1103725</v>
      </c>
      <c r="U311" s="2" t="n">
        <f aca="false">B311*T311</f>
        <v>1.303940715</v>
      </c>
      <c r="V311" s="2" t="n">
        <f aca="false">B311*C311</f>
        <v>1.193214</v>
      </c>
    </row>
    <row r="312" customFormat="false" ht="15" hidden="false" customHeight="false" outlineLevel="0" collapsed="false">
      <c r="A312" s="2" t="n">
        <v>236.86</v>
      </c>
      <c r="B312" s="2" t="n">
        <v>11.809</v>
      </c>
      <c r="C312" s="2" t="n">
        <v>0.132</v>
      </c>
      <c r="D312" s="2" t="n">
        <v>0.147</v>
      </c>
      <c r="E312" s="2" t="n">
        <v>0</v>
      </c>
      <c r="F312" s="2" t="n">
        <v>77</v>
      </c>
      <c r="G312" s="2" t="n">
        <v>5</v>
      </c>
      <c r="H312" s="2" t="n">
        <v>400</v>
      </c>
      <c r="I312" s="2" t="n">
        <v>176</v>
      </c>
      <c r="J312" s="2"/>
      <c r="K312" s="2" t="n">
        <v>1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1</v>
      </c>
      <c r="Q312" s="2" t="n">
        <v>1</v>
      </c>
      <c r="R312" s="2" t="n">
        <v>0</v>
      </c>
      <c r="S312" s="2" t="n">
        <f aca="false">A313-A312</f>
        <v>0.199999999999989</v>
      </c>
      <c r="T312" s="2" t="n">
        <f aca="false">C312+Summary!$C$8*D312</f>
        <v>0.1439805</v>
      </c>
      <c r="U312" s="2" t="n">
        <f aca="false">B312*T312</f>
        <v>1.7002657245</v>
      </c>
      <c r="V312" s="2" t="n">
        <f aca="false">B312*C312</f>
        <v>1.558788</v>
      </c>
    </row>
    <row r="313" customFormat="false" ht="15" hidden="false" customHeight="false" outlineLevel="0" collapsed="false">
      <c r="A313" s="2" t="n">
        <v>237.06</v>
      </c>
      <c r="B313" s="2" t="n">
        <v>11.821</v>
      </c>
      <c r="C313" s="2" t="n">
        <v>0.097</v>
      </c>
      <c r="D313" s="2" t="n">
        <v>0.181</v>
      </c>
      <c r="E313" s="2" t="n">
        <v>0</v>
      </c>
      <c r="F313" s="2" t="n">
        <v>77</v>
      </c>
      <c r="G313" s="2" t="n">
        <v>5</v>
      </c>
      <c r="H313" s="2" t="n">
        <v>400</v>
      </c>
      <c r="I313" s="2" t="n">
        <v>8</v>
      </c>
      <c r="J313" s="2"/>
      <c r="K313" s="2" t="n">
        <v>1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1</v>
      </c>
      <c r="Q313" s="2" t="n">
        <v>1</v>
      </c>
      <c r="R313" s="2" t="n">
        <v>0</v>
      </c>
      <c r="S313" s="2" t="n">
        <f aca="false">A314-A313</f>
        <v>0.199999999999989</v>
      </c>
      <c r="T313" s="2" t="n">
        <f aca="false">C313+Summary!$C$8*D313</f>
        <v>0.1117515</v>
      </c>
      <c r="U313" s="2" t="n">
        <f aca="false">B313*T313</f>
        <v>1.3210144815</v>
      </c>
      <c r="V313" s="2" t="n">
        <f aca="false">B313*C313</f>
        <v>1.146637</v>
      </c>
    </row>
    <row r="314" customFormat="false" ht="15" hidden="false" customHeight="false" outlineLevel="0" collapsed="false">
      <c r="A314" s="2" t="n">
        <v>237.26</v>
      </c>
      <c r="B314" s="2" t="n">
        <v>11.817</v>
      </c>
      <c r="C314" s="2" t="n">
        <v>0.098</v>
      </c>
      <c r="D314" s="2" t="n">
        <v>0.148</v>
      </c>
      <c r="E314" s="2" t="n">
        <v>0</v>
      </c>
      <c r="F314" s="2" t="n">
        <v>77</v>
      </c>
      <c r="G314" s="2" t="n">
        <v>4</v>
      </c>
      <c r="H314" s="2" t="n">
        <v>400</v>
      </c>
      <c r="I314" s="2" t="n">
        <v>400</v>
      </c>
      <c r="J314" s="2"/>
      <c r="K314" s="2" t="n">
        <v>1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1</v>
      </c>
      <c r="Q314" s="2" t="n">
        <v>1</v>
      </c>
      <c r="R314" s="2" t="n">
        <v>0</v>
      </c>
      <c r="S314" s="2" t="n">
        <f aca="false">A315-A314</f>
        <v>0.200000000000017</v>
      </c>
      <c r="T314" s="2" t="n">
        <f aca="false">C314+Summary!$C$8*D314</f>
        <v>0.110062</v>
      </c>
      <c r="U314" s="2" t="n">
        <f aca="false">B314*T314</f>
        <v>1.300602654</v>
      </c>
      <c r="V314" s="2" t="n">
        <f aca="false">B314*C314</f>
        <v>1.158066</v>
      </c>
    </row>
    <row r="315" customFormat="false" ht="15" hidden="false" customHeight="false" outlineLevel="0" collapsed="false">
      <c r="A315" s="2" t="n">
        <v>237.46</v>
      </c>
      <c r="B315" s="2" t="n">
        <v>11.818</v>
      </c>
      <c r="C315" s="2" t="n">
        <v>0.102</v>
      </c>
      <c r="D315" s="2" t="n">
        <v>0.107</v>
      </c>
      <c r="E315" s="2" t="n">
        <v>0</v>
      </c>
      <c r="F315" s="2" t="n">
        <v>77</v>
      </c>
      <c r="G315" s="2" t="n">
        <v>5</v>
      </c>
      <c r="H315" s="2" t="n">
        <v>400</v>
      </c>
      <c r="I315" s="2" t="n">
        <v>9</v>
      </c>
      <c r="J315" s="2"/>
      <c r="K315" s="2" t="n">
        <v>1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1</v>
      </c>
      <c r="Q315" s="2" t="n">
        <v>1</v>
      </c>
      <c r="R315" s="2" t="n">
        <v>0</v>
      </c>
      <c r="S315" s="2" t="n">
        <f aca="false">A316-A315</f>
        <v>0.199999999999989</v>
      </c>
      <c r="T315" s="2" t="n">
        <f aca="false">C315+Summary!$C$8*D315</f>
        <v>0.1107205</v>
      </c>
      <c r="U315" s="2" t="n">
        <f aca="false">B315*T315</f>
        <v>1.308494869</v>
      </c>
      <c r="V315" s="2" t="n">
        <f aca="false">B315*C315</f>
        <v>1.205436</v>
      </c>
    </row>
    <row r="316" customFormat="false" ht="15" hidden="false" customHeight="false" outlineLevel="0" collapsed="false">
      <c r="A316" s="2" t="n">
        <v>237.66</v>
      </c>
      <c r="B316" s="2" t="n">
        <v>11.818</v>
      </c>
      <c r="C316" s="2" t="n">
        <v>0.106</v>
      </c>
      <c r="D316" s="2" t="n">
        <v>0.067</v>
      </c>
      <c r="E316" s="2" t="n">
        <v>0</v>
      </c>
      <c r="F316" s="2" t="n">
        <v>77</v>
      </c>
      <c r="G316" s="2" t="n">
        <v>5</v>
      </c>
      <c r="H316" s="2" t="n">
        <v>400</v>
      </c>
      <c r="I316" s="2" t="n">
        <v>400</v>
      </c>
      <c r="J316" s="2"/>
      <c r="K316" s="2" t="n">
        <v>1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1</v>
      </c>
      <c r="Q316" s="2" t="n">
        <v>1</v>
      </c>
      <c r="R316" s="2" t="n">
        <v>0</v>
      </c>
      <c r="S316" s="2" t="n">
        <f aca="false">A317-A316</f>
        <v>0.200000000000017</v>
      </c>
      <c r="T316" s="2" t="n">
        <f aca="false">C316+Summary!$C$8*D316</f>
        <v>0.1114605</v>
      </c>
      <c r="U316" s="2" t="n">
        <f aca="false">B316*T316</f>
        <v>1.317240189</v>
      </c>
      <c r="V316" s="2" t="n">
        <f aca="false">B316*C316</f>
        <v>1.252708</v>
      </c>
    </row>
    <row r="317" customFormat="false" ht="15" hidden="false" customHeight="false" outlineLevel="0" collapsed="false">
      <c r="A317" s="2" t="n">
        <v>237.86</v>
      </c>
      <c r="B317" s="2" t="n">
        <v>11.815</v>
      </c>
      <c r="C317" s="2" t="n">
        <v>0.11</v>
      </c>
      <c r="D317" s="2" t="n">
        <v>0.008</v>
      </c>
      <c r="E317" s="2" t="n">
        <v>0</v>
      </c>
      <c r="F317" s="2" t="n">
        <v>77</v>
      </c>
      <c r="G317" s="2" t="n">
        <v>4</v>
      </c>
      <c r="H317" s="2" t="n">
        <v>400</v>
      </c>
      <c r="I317" s="2" t="n">
        <v>8</v>
      </c>
      <c r="J317" s="2"/>
      <c r="K317" s="2" t="n">
        <v>1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1</v>
      </c>
      <c r="Q317" s="2" t="n">
        <v>1</v>
      </c>
      <c r="R317" s="2" t="n">
        <v>0</v>
      </c>
      <c r="S317" s="2" t="n">
        <f aca="false">A318-A317</f>
        <v>0.199999999999989</v>
      </c>
      <c r="T317" s="2" t="n">
        <f aca="false">C317+Summary!$C$8*D317</f>
        <v>0.110652</v>
      </c>
      <c r="U317" s="2" t="n">
        <f aca="false">B317*T317</f>
        <v>1.30735338</v>
      </c>
      <c r="V317" s="2" t="n">
        <f aca="false">B317*C317</f>
        <v>1.29965</v>
      </c>
    </row>
    <row r="318" customFormat="false" ht="15" hidden="false" customHeight="false" outlineLevel="0" collapsed="false">
      <c r="A318" s="2" t="n">
        <v>238.06</v>
      </c>
      <c r="B318" s="2" t="n">
        <v>11.811</v>
      </c>
      <c r="C318" s="2" t="n">
        <v>0.112</v>
      </c>
      <c r="D318" s="2" t="n">
        <v>0</v>
      </c>
      <c r="E318" s="2" t="n">
        <v>0</v>
      </c>
      <c r="F318" s="2" t="n">
        <v>77</v>
      </c>
      <c r="G318" s="2" t="n">
        <v>4</v>
      </c>
      <c r="H318" s="2" t="n">
        <v>400</v>
      </c>
      <c r="I318" s="2" t="n">
        <v>400</v>
      </c>
      <c r="J318" s="2"/>
      <c r="K318" s="2" t="n">
        <v>1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1</v>
      </c>
      <c r="Q318" s="2" t="n">
        <v>1</v>
      </c>
      <c r="R318" s="2" t="n">
        <v>0</v>
      </c>
      <c r="S318" s="2" t="n">
        <f aca="false">A319-A318</f>
        <v>0.199999999999989</v>
      </c>
      <c r="T318" s="2" t="n">
        <f aca="false">C318+Summary!$C$8*D318</f>
        <v>0.112</v>
      </c>
      <c r="U318" s="2" t="n">
        <f aca="false">B318*T318</f>
        <v>1.322832</v>
      </c>
      <c r="V318" s="2" t="n">
        <f aca="false">B318*C318</f>
        <v>1.322832</v>
      </c>
    </row>
    <row r="319" customFormat="false" ht="15" hidden="false" customHeight="false" outlineLevel="0" collapsed="false">
      <c r="A319" s="2" t="n">
        <v>238.26</v>
      </c>
      <c r="B319" s="2" t="n">
        <v>11.819</v>
      </c>
      <c r="C319" s="2" t="n">
        <v>0.112</v>
      </c>
      <c r="D319" s="2" t="n">
        <v>0</v>
      </c>
      <c r="E319" s="2" t="n">
        <v>0</v>
      </c>
      <c r="F319" s="2" t="n">
        <v>77</v>
      </c>
      <c r="G319" s="2" t="n">
        <v>4</v>
      </c>
      <c r="H319" s="2" t="n">
        <v>400</v>
      </c>
      <c r="I319" s="2" t="n">
        <v>400</v>
      </c>
      <c r="J319" s="2"/>
      <c r="K319" s="2" t="n">
        <v>1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1</v>
      </c>
      <c r="Q319" s="2" t="n">
        <v>1</v>
      </c>
      <c r="R319" s="2" t="n">
        <v>0</v>
      </c>
      <c r="S319" s="2" t="n">
        <f aca="false">A320-A319</f>
        <v>0.200000000000017</v>
      </c>
      <c r="T319" s="2" t="n">
        <f aca="false">C319+Summary!$C$8*D319</f>
        <v>0.112</v>
      </c>
      <c r="U319" s="2" t="n">
        <f aca="false">B319*T319</f>
        <v>1.323728</v>
      </c>
      <c r="V319" s="2" t="n">
        <f aca="false">B319*C319</f>
        <v>1.323728</v>
      </c>
    </row>
    <row r="320" customFormat="false" ht="15" hidden="false" customHeight="false" outlineLevel="0" collapsed="false">
      <c r="A320" s="2" t="n">
        <v>238.46</v>
      </c>
      <c r="B320" s="2" t="n">
        <v>11.811</v>
      </c>
      <c r="C320" s="2" t="n">
        <v>0.111</v>
      </c>
      <c r="D320" s="2" t="n">
        <v>0</v>
      </c>
      <c r="E320" s="2" t="n">
        <v>0.027</v>
      </c>
      <c r="F320" s="2" t="n">
        <v>77</v>
      </c>
      <c r="G320" s="2" t="n">
        <v>4</v>
      </c>
      <c r="H320" s="2" t="n">
        <v>400</v>
      </c>
      <c r="I320" s="2" t="n">
        <v>10</v>
      </c>
      <c r="J320" s="2"/>
      <c r="K320" s="2" t="n">
        <v>1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1</v>
      </c>
      <c r="Q320" s="2" t="n">
        <v>1</v>
      </c>
      <c r="R320" s="2" t="n">
        <v>0</v>
      </c>
      <c r="S320" s="2" t="n">
        <f aca="false">A321-A320</f>
        <v>0.199999999999989</v>
      </c>
      <c r="T320" s="2" t="n">
        <f aca="false">C320+Summary!$C$8*D320</f>
        <v>0.111</v>
      </c>
      <c r="U320" s="2" t="n">
        <f aca="false">B320*T320</f>
        <v>1.311021</v>
      </c>
      <c r="V320" s="2" t="n">
        <f aca="false">B320*C320</f>
        <v>1.311021</v>
      </c>
    </row>
    <row r="321" customFormat="false" ht="15" hidden="false" customHeight="false" outlineLevel="0" collapsed="false">
      <c r="A321" s="2" t="n">
        <v>238.66</v>
      </c>
      <c r="B321" s="2" t="n">
        <v>11.811</v>
      </c>
      <c r="C321" s="2" t="n">
        <v>0.112</v>
      </c>
      <c r="D321" s="2" t="n">
        <v>0</v>
      </c>
      <c r="E321" s="2" t="n">
        <v>0.013</v>
      </c>
      <c r="F321" s="2" t="n">
        <v>77</v>
      </c>
      <c r="G321" s="2" t="n">
        <v>8</v>
      </c>
      <c r="H321" s="2" t="n">
        <v>400</v>
      </c>
      <c r="I321" s="2" t="n">
        <v>5</v>
      </c>
      <c r="J321" s="2"/>
      <c r="K321" s="2" t="n">
        <v>1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1</v>
      </c>
      <c r="Q321" s="2" t="n">
        <v>1</v>
      </c>
      <c r="R321" s="2" t="n">
        <v>0</v>
      </c>
      <c r="S321" s="2" t="n">
        <f aca="false">A322-A321</f>
        <v>0.200000000000017</v>
      </c>
      <c r="T321" s="2" t="n">
        <f aca="false">C321+Summary!$C$8*D321</f>
        <v>0.112</v>
      </c>
      <c r="U321" s="2" t="n">
        <f aca="false">B321*T321</f>
        <v>1.322832</v>
      </c>
      <c r="V321" s="2" t="n">
        <f aca="false">B321*C321</f>
        <v>1.322832</v>
      </c>
    </row>
    <row r="322" customFormat="false" ht="15" hidden="false" customHeight="false" outlineLevel="0" collapsed="false">
      <c r="A322" s="2" t="n">
        <v>238.86</v>
      </c>
      <c r="B322" s="2" t="n">
        <v>11.814</v>
      </c>
      <c r="C322" s="2" t="n">
        <v>0.109</v>
      </c>
      <c r="D322" s="2" t="n">
        <v>0.032</v>
      </c>
      <c r="E322" s="2" t="n">
        <v>0</v>
      </c>
      <c r="F322" s="2" t="n">
        <v>77</v>
      </c>
      <c r="G322" s="2" t="n">
        <v>400</v>
      </c>
      <c r="H322" s="2" t="n">
        <v>400</v>
      </c>
      <c r="I322" s="2" t="n">
        <v>30</v>
      </c>
      <c r="J322" s="2"/>
      <c r="K322" s="2" t="n">
        <v>1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1</v>
      </c>
      <c r="Q322" s="2" t="n">
        <v>1</v>
      </c>
      <c r="R322" s="2" t="n">
        <v>0</v>
      </c>
      <c r="S322" s="2" t="n">
        <f aca="false">A323-A322</f>
        <v>0.199999999999989</v>
      </c>
      <c r="T322" s="2" t="n">
        <f aca="false">C322+Summary!$C$8*D322</f>
        <v>0.111608</v>
      </c>
      <c r="U322" s="2" t="n">
        <f aca="false">B322*T322</f>
        <v>1.318536912</v>
      </c>
      <c r="V322" s="2" t="n">
        <f aca="false">B322*C322</f>
        <v>1.287726</v>
      </c>
    </row>
    <row r="323" customFormat="false" ht="15" hidden="false" customHeight="false" outlineLevel="0" collapsed="false">
      <c r="A323" s="2" t="n">
        <v>239.06</v>
      </c>
      <c r="B323" s="2" t="n">
        <v>11.814</v>
      </c>
      <c r="C323" s="2" t="n">
        <v>0.107</v>
      </c>
      <c r="D323" s="2" t="n">
        <v>0.061</v>
      </c>
      <c r="E323" s="2" t="n">
        <v>0</v>
      </c>
      <c r="F323" s="2" t="n">
        <v>77</v>
      </c>
      <c r="G323" s="2" t="n">
        <v>400</v>
      </c>
      <c r="H323" s="2" t="n">
        <v>400</v>
      </c>
      <c r="I323" s="2" t="n">
        <v>30</v>
      </c>
      <c r="J323" s="2"/>
      <c r="K323" s="2" t="n">
        <v>1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1</v>
      </c>
      <c r="Q323" s="2" t="n">
        <v>1</v>
      </c>
      <c r="R323" s="2" t="n">
        <v>0</v>
      </c>
      <c r="S323" s="2" t="n">
        <f aca="false">A324-A323</f>
        <v>0.199999999999989</v>
      </c>
      <c r="T323" s="2" t="n">
        <f aca="false">C323+Summary!$C$8*D323</f>
        <v>0.1119715</v>
      </c>
      <c r="U323" s="2" t="n">
        <f aca="false">B323*T323</f>
        <v>1.322831301</v>
      </c>
      <c r="V323" s="2" t="n">
        <f aca="false">B323*C323</f>
        <v>1.264098</v>
      </c>
    </row>
    <row r="324" customFormat="false" ht="15" hidden="false" customHeight="false" outlineLevel="0" collapsed="false">
      <c r="A324" s="2" t="n">
        <v>239.26</v>
      </c>
      <c r="B324" s="2" t="n">
        <v>11.814</v>
      </c>
      <c r="C324" s="2" t="n">
        <v>0.106</v>
      </c>
      <c r="D324" s="2" t="n">
        <v>0.081</v>
      </c>
      <c r="E324" s="2" t="n">
        <v>0</v>
      </c>
      <c r="F324" s="2" t="n">
        <v>77</v>
      </c>
      <c r="G324" s="2" t="n">
        <v>400</v>
      </c>
      <c r="H324" s="2" t="n">
        <v>400</v>
      </c>
      <c r="I324" s="2" t="n">
        <v>30</v>
      </c>
      <c r="J324" s="2"/>
      <c r="K324" s="2" t="n">
        <v>1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1</v>
      </c>
      <c r="Q324" s="2" t="n">
        <v>1</v>
      </c>
      <c r="R324" s="2" t="n">
        <v>0</v>
      </c>
      <c r="S324" s="2" t="n">
        <f aca="false">A325-A324</f>
        <v>0.200000000000017</v>
      </c>
      <c r="T324" s="2" t="n">
        <f aca="false">C324+Summary!$C$8*D324</f>
        <v>0.1126015</v>
      </c>
      <c r="U324" s="2" t="n">
        <f aca="false">B324*T324</f>
        <v>1.330274121</v>
      </c>
      <c r="V324" s="2" t="n">
        <f aca="false">B324*C324</f>
        <v>1.252284</v>
      </c>
    </row>
    <row r="325" customFormat="false" ht="15" hidden="false" customHeight="false" outlineLevel="0" collapsed="false">
      <c r="A325" s="2" t="n">
        <v>239.46</v>
      </c>
      <c r="B325" s="2" t="n">
        <v>11.814</v>
      </c>
      <c r="C325" s="2" t="n">
        <v>0.104</v>
      </c>
      <c r="D325" s="2" t="n">
        <v>0.094</v>
      </c>
      <c r="E325" s="2" t="n">
        <v>0</v>
      </c>
      <c r="F325" s="2" t="n">
        <v>77</v>
      </c>
      <c r="G325" s="2" t="n">
        <v>400</v>
      </c>
      <c r="H325" s="2" t="n">
        <v>400</v>
      </c>
      <c r="I325" s="2" t="n">
        <v>30</v>
      </c>
      <c r="J325" s="2"/>
      <c r="K325" s="2" t="n">
        <v>1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1</v>
      </c>
      <c r="Q325" s="2" t="n">
        <v>1</v>
      </c>
      <c r="R325" s="2" t="n">
        <v>0</v>
      </c>
      <c r="S325" s="2" t="n">
        <f aca="false">A326-A325</f>
        <v>0.199999999999989</v>
      </c>
      <c r="T325" s="2" t="n">
        <f aca="false">C325+Summary!$C$8*D325</f>
        <v>0.111661</v>
      </c>
      <c r="U325" s="2" t="n">
        <f aca="false">B325*T325</f>
        <v>1.319163054</v>
      </c>
      <c r="V325" s="2" t="n">
        <f aca="false">B325*C325</f>
        <v>1.228656</v>
      </c>
    </row>
    <row r="326" customFormat="false" ht="15" hidden="false" customHeight="false" outlineLevel="0" collapsed="false">
      <c r="A326" s="2" t="n">
        <v>239.66</v>
      </c>
      <c r="B326" s="2" t="n">
        <v>11.814</v>
      </c>
      <c r="C326" s="2" t="n">
        <v>0.103</v>
      </c>
      <c r="D326" s="2" t="n">
        <v>0.101</v>
      </c>
      <c r="E326" s="2" t="n">
        <v>0</v>
      </c>
      <c r="F326" s="2" t="n">
        <v>77</v>
      </c>
      <c r="G326" s="2" t="n">
        <v>400</v>
      </c>
      <c r="H326" s="2" t="n">
        <v>400</v>
      </c>
      <c r="I326" s="2" t="n">
        <v>30</v>
      </c>
      <c r="J326" s="2"/>
      <c r="K326" s="2" t="n">
        <v>1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1</v>
      </c>
      <c r="Q326" s="2" t="n">
        <v>1</v>
      </c>
      <c r="R326" s="2" t="n">
        <v>0</v>
      </c>
      <c r="S326" s="2" t="n">
        <f aca="false">A327-A326</f>
        <v>0.200000000000017</v>
      </c>
      <c r="T326" s="2" t="n">
        <f aca="false">C326+Summary!$C$8*D326</f>
        <v>0.1112315</v>
      </c>
      <c r="U326" s="2" t="n">
        <f aca="false">B326*T326</f>
        <v>1.314088941</v>
      </c>
      <c r="V326" s="2" t="n">
        <f aca="false">B326*C326</f>
        <v>1.216842</v>
      </c>
    </row>
    <row r="327" customFormat="false" ht="15" hidden="false" customHeight="false" outlineLevel="0" collapsed="false">
      <c r="A327" s="2" t="n">
        <v>239.86</v>
      </c>
      <c r="B327" s="2" t="n">
        <v>11.814</v>
      </c>
      <c r="C327" s="2" t="n">
        <v>0.103</v>
      </c>
      <c r="D327" s="2" t="n">
        <v>0.105</v>
      </c>
      <c r="E327" s="2" t="n">
        <v>0</v>
      </c>
      <c r="F327" s="2" t="n">
        <v>77</v>
      </c>
      <c r="G327" s="2" t="n">
        <v>400</v>
      </c>
      <c r="H327" s="2" t="n">
        <v>400</v>
      </c>
      <c r="I327" s="2" t="n">
        <v>30</v>
      </c>
      <c r="J327" s="2"/>
      <c r="K327" s="2" t="n">
        <v>1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1</v>
      </c>
      <c r="Q327" s="2" t="n">
        <v>1</v>
      </c>
      <c r="R327" s="2" t="n">
        <v>0</v>
      </c>
      <c r="S327" s="2" t="n">
        <f aca="false">A328-A327</f>
        <v>0.199999999999989</v>
      </c>
      <c r="T327" s="2" t="n">
        <f aca="false">C327+Summary!$C$8*D327</f>
        <v>0.1115575</v>
      </c>
      <c r="U327" s="2" t="n">
        <f aca="false">B327*T327</f>
        <v>1.317940305</v>
      </c>
      <c r="V327" s="2" t="n">
        <f aca="false">B327*C327</f>
        <v>1.216842</v>
      </c>
    </row>
    <row r="328" customFormat="false" ht="15" hidden="false" customHeight="false" outlineLevel="0" collapsed="false">
      <c r="A328" s="2" t="n">
        <v>240.06</v>
      </c>
      <c r="B328" s="2" t="n">
        <v>11.814</v>
      </c>
      <c r="C328" s="2" t="n">
        <v>0.103</v>
      </c>
      <c r="D328" s="2" t="n">
        <v>0.097</v>
      </c>
      <c r="E328" s="2" t="n">
        <v>0</v>
      </c>
      <c r="F328" s="2" t="n">
        <v>77</v>
      </c>
      <c r="G328" s="2" t="n">
        <v>400</v>
      </c>
      <c r="H328" s="2" t="n">
        <v>400</v>
      </c>
      <c r="I328" s="2" t="n">
        <v>30</v>
      </c>
      <c r="J328" s="2"/>
      <c r="K328" s="2" t="n">
        <v>1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1</v>
      </c>
      <c r="Q328" s="2" t="n">
        <v>1</v>
      </c>
      <c r="R328" s="2" t="n">
        <v>0</v>
      </c>
      <c r="S328" s="2" t="n">
        <f aca="false">A329-A328</f>
        <v>0.199999999999989</v>
      </c>
      <c r="T328" s="2" t="n">
        <f aca="false">C328+Summary!$C$8*D328</f>
        <v>0.1109055</v>
      </c>
      <c r="U328" s="2" t="n">
        <f aca="false">B328*T328</f>
        <v>1.310237577</v>
      </c>
      <c r="V328" s="2" t="n">
        <f aca="false">B328*C328</f>
        <v>1.216842</v>
      </c>
    </row>
    <row r="329" customFormat="false" ht="15" hidden="false" customHeight="false" outlineLevel="0" collapsed="false">
      <c r="A329" s="2" t="n">
        <v>240.26</v>
      </c>
      <c r="B329" s="2" t="n">
        <v>11.814</v>
      </c>
      <c r="C329" s="2" t="n">
        <v>0.103</v>
      </c>
      <c r="D329" s="2" t="n">
        <v>0.099</v>
      </c>
      <c r="E329" s="2" t="n">
        <v>0</v>
      </c>
      <c r="F329" s="2" t="n">
        <v>77</v>
      </c>
      <c r="G329" s="2" t="n">
        <v>400</v>
      </c>
      <c r="H329" s="2" t="n">
        <v>400</v>
      </c>
      <c r="I329" s="2" t="n">
        <v>30</v>
      </c>
      <c r="J329" s="2"/>
      <c r="K329" s="2" t="n">
        <v>1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1</v>
      </c>
      <c r="Q329" s="2" t="n">
        <v>1</v>
      </c>
      <c r="R329" s="2" t="n">
        <v>0</v>
      </c>
      <c r="S329" s="2" t="n">
        <f aca="false">A330-A329</f>
        <v>0.200000000000017</v>
      </c>
      <c r="T329" s="2" t="n">
        <f aca="false">C329+Summary!$C$8*D329</f>
        <v>0.1110685</v>
      </c>
      <c r="U329" s="2" t="n">
        <f aca="false">B329*T329</f>
        <v>1.312163259</v>
      </c>
      <c r="V329" s="2" t="n">
        <f aca="false">B329*C329</f>
        <v>1.216842</v>
      </c>
    </row>
    <row r="330" customFormat="false" ht="15" hidden="false" customHeight="false" outlineLevel="0" collapsed="false">
      <c r="A330" s="2" t="n">
        <v>240.46</v>
      </c>
      <c r="B330" s="2" t="n">
        <v>11.818</v>
      </c>
      <c r="C330" s="2" t="n">
        <v>0.104</v>
      </c>
      <c r="D330" s="2" t="n">
        <v>0.098</v>
      </c>
      <c r="E330" s="2" t="n">
        <v>0</v>
      </c>
      <c r="F330" s="2" t="n">
        <v>77</v>
      </c>
      <c r="G330" s="2" t="n">
        <v>400</v>
      </c>
      <c r="H330" s="2" t="n">
        <v>400</v>
      </c>
      <c r="I330" s="2" t="n">
        <v>30</v>
      </c>
      <c r="J330" s="2"/>
      <c r="K330" s="2" t="n">
        <v>1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1</v>
      </c>
      <c r="Q330" s="2" t="n">
        <v>1</v>
      </c>
      <c r="R330" s="2" t="n">
        <v>0</v>
      </c>
      <c r="S330" s="2" t="n">
        <f aca="false">A331-A330</f>
        <v>0.199999999999989</v>
      </c>
      <c r="T330" s="2" t="n">
        <f aca="false">C330+Summary!$C$8*D330</f>
        <v>0.111987</v>
      </c>
      <c r="U330" s="2" t="n">
        <f aca="false">B330*T330</f>
        <v>1.323462366</v>
      </c>
      <c r="V330" s="2" t="n">
        <f aca="false">B330*C330</f>
        <v>1.229072</v>
      </c>
    </row>
    <row r="331" customFormat="false" ht="15" hidden="false" customHeight="false" outlineLevel="0" collapsed="false">
      <c r="A331" s="2" t="n">
        <v>240.66</v>
      </c>
      <c r="B331" s="2" t="n">
        <v>11.814</v>
      </c>
      <c r="C331" s="2" t="n">
        <v>0.104</v>
      </c>
      <c r="D331" s="2" t="n">
        <v>0.095</v>
      </c>
      <c r="E331" s="2" t="n">
        <v>0</v>
      </c>
      <c r="F331" s="2" t="n">
        <v>77</v>
      </c>
      <c r="G331" s="2" t="n">
        <v>400</v>
      </c>
      <c r="H331" s="2" t="n">
        <v>400</v>
      </c>
      <c r="I331" s="2" t="n">
        <v>30</v>
      </c>
      <c r="J331" s="2"/>
      <c r="K331" s="2" t="n">
        <v>1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1</v>
      </c>
      <c r="Q331" s="2" t="n">
        <v>1</v>
      </c>
      <c r="R331" s="2" t="n">
        <v>0</v>
      </c>
      <c r="S331" s="2" t="n">
        <f aca="false">A332-A331</f>
        <v>0.200000000000017</v>
      </c>
      <c r="T331" s="2" t="n">
        <f aca="false">C331+Summary!$C$8*D331</f>
        <v>0.1117425</v>
      </c>
      <c r="U331" s="2" t="n">
        <f aca="false">B331*T331</f>
        <v>1.320125895</v>
      </c>
      <c r="V331" s="2" t="n">
        <f aca="false">B331*C331</f>
        <v>1.228656</v>
      </c>
    </row>
    <row r="332" customFormat="false" ht="15" hidden="false" customHeight="false" outlineLevel="0" collapsed="false">
      <c r="A332" s="2" t="n">
        <v>240.86</v>
      </c>
      <c r="B332" s="2" t="n">
        <v>11.814</v>
      </c>
      <c r="C332" s="2" t="n">
        <v>0.105</v>
      </c>
      <c r="D332" s="2" t="n">
        <v>0.097</v>
      </c>
      <c r="E332" s="2" t="n">
        <v>0</v>
      </c>
      <c r="F332" s="2" t="n">
        <v>77</v>
      </c>
      <c r="G332" s="2" t="n">
        <v>400</v>
      </c>
      <c r="H332" s="2" t="n">
        <v>400</v>
      </c>
      <c r="I332" s="2" t="n">
        <v>30</v>
      </c>
      <c r="J332" s="2"/>
      <c r="K332" s="2" t="n">
        <v>1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1</v>
      </c>
      <c r="Q332" s="2" t="n">
        <v>1</v>
      </c>
      <c r="R332" s="2" t="n">
        <v>0</v>
      </c>
      <c r="S332" s="2" t="n">
        <f aca="false">A333-A332</f>
        <v>0.199999999999989</v>
      </c>
      <c r="T332" s="2" t="n">
        <f aca="false">C332+Summary!$C$8*D332</f>
        <v>0.1129055</v>
      </c>
      <c r="U332" s="2" t="n">
        <f aca="false">B332*T332</f>
        <v>1.333865577</v>
      </c>
      <c r="V332" s="2" t="n">
        <f aca="false">B332*C332</f>
        <v>1.24047</v>
      </c>
    </row>
    <row r="333" customFormat="false" ht="15" hidden="false" customHeight="false" outlineLevel="0" collapsed="false">
      <c r="A333" s="2" t="n">
        <v>241.06</v>
      </c>
      <c r="B333" s="2" t="n">
        <v>11.797</v>
      </c>
      <c r="C333" s="2" t="n">
        <v>0.106</v>
      </c>
      <c r="D333" s="2" t="n">
        <v>0.098</v>
      </c>
      <c r="E333" s="2" t="n">
        <v>0</v>
      </c>
      <c r="F333" s="2" t="n">
        <v>77</v>
      </c>
      <c r="G333" s="2" t="n">
        <v>400</v>
      </c>
      <c r="H333" s="2" t="n">
        <v>400</v>
      </c>
      <c r="I333" s="2" t="n">
        <v>30</v>
      </c>
      <c r="J333" s="2"/>
      <c r="K333" s="2" t="n">
        <v>1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</v>
      </c>
      <c r="Q333" s="2" t="n">
        <v>1</v>
      </c>
      <c r="R333" s="2" t="n">
        <v>0</v>
      </c>
      <c r="S333" s="2" t="n">
        <f aca="false">A334-A333</f>
        <v>0.199999999999989</v>
      </c>
      <c r="T333" s="2" t="n">
        <f aca="false">C333+Summary!$C$8*D333</f>
        <v>0.113987</v>
      </c>
      <c r="U333" s="2" t="n">
        <f aca="false">B333*T333</f>
        <v>1.344704639</v>
      </c>
      <c r="V333" s="2" t="n">
        <f aca="false">B333*C333</f>
        <v>1.250482</v>
      </c>
    </row>
    <row r="334" customFormat="false" ht="15" hidden="false" customHeight="false" outlineLevel="0" collapsed="false">
      <c r="A334" s="2" t="n">
        <v>241.26</v>
      </c>
      <c r="B334" s="2" t="n">
        <v>11.814</v>
      </c>
      <c r="C334" s="2" t="n">
        <v>0.104</v>
      </c>
      <c r="D334" s="2" t="n">
        <v>0.107</v>
      </c>
      <c r="E334" s="2" t="n">
        <v>0</v>
      </c>
      <c r="F334" s="2" t="n">
        <v>77</v>
      </c>
      <c r="G334" s="2" t="n">
        <v>400</v>
      </c>
      <c r="H334" s="2" t="n">
        <v>400</v>
      </c>
      <c r="I334" s="2" t="n">
        <v>30</v>
      </c>
      <c r="J334" s="2"/>
      <c r="K334" s="2" t="n">
        <v>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1</v>
      </c>
      <c r="Q334" s="2" t="n">
        <v>1</v>
      </c>
      <c r="R334" s="2" t="n">
        <v>0</v>
      </c>
      <c r="S334" s="2" t="n">
        <f aca="false">A335-A334</f>
        <v>0.200000000000017</v>
      </c>
      <c r="T334" s="2" t="n">
        <f aca="false">C334+Summary!$C$8*D334</f>
        <v>0.1127205</v>
      </c>
      <c r="U334" s="2" t="n">
        <f aca="false">B334*T334</f>
        <v>1.331679987</v>
      </c>
      <c r="V334" s="2" t="n">
        <f aca="false">B334*C334</f>
        <v>1.228656</v>
      </c>
    </row>
    <row r="335" customFormat="false" ht="15" hidden="false" customHeight="false" outlineLevel="0" collapsed="false">
      <c r="A335" s="2" t="n">
        <v>241.46</v>
      </c>
      <c r="B335" s="2" t="n">
        <v>11.818</v>
      </c>
      <c r="C335" s="2" t="n">
        <v>0.103</v>
      </c>
      <c r="D335" s="2" t="n">
        <v>0.104</v>
      </c>
      <c r="E335" s="2" t="n">
        <v>0</v>
      </c>
      <c r="F335" s="2" t="n">
        <v>77</v>
      </c>
      <c r="G335" s="2" t="n">
        <v>400</v>
      </c>
      <c r="H335" s="2" t="n">
        <v>400</v>
      </c>
      <c r="I335" s="2" t="n">
        <v>30</v>
      </c>
      <c r="J335" s="2"/>
      <c r="K335" s="2" t="n">
        <v>1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1</v>
      </c>
      <c r="Q335" s="2" t="n">
        <v>1</v>
      </c>
      <c r="R335" s="2" t="n">
        <v>0</v>
      </c>
      <c r="S335" s="2" t="n">
        <f aca="false">A336-A335</f>
        <v>0.199999999999989</v>
      </c>
      <c r="T335" s="2" t="n">
        <f aca="false">C335+Summary!$C$8*D335</f>
        <v>0.111476</v>
      </c>
      <c r="U335" s="2" t="n">
        <f aca="false">B335*T335</f>
        <v>1.317423368</v>
      </c>
      <c r="V335" s="2" t="n">
        <f aca="false">B335*C335</f>
        <v>1.217254</v>
      </c>
    </row>
    <row r="336" customFormat="false" ht="15" hidden="false" customHeight="false" outlineLevel="0" collapsed="false">
      <c r="A336" s="2" t="n">
        <v>241.66</v>
      </c>
      <c r="B336" s="2" t="n">
        <v>11.806</v>
      </c>
      <c r="C336" s="2" t="n">
        <v>0.14</v>
      </c>
      <c r="D336" s="2" t="n">
        <v>0.11</v>
      </c>
      <c r="E336" s="2" t="n">
        <v>0</v>
      </c>
      <c r="F336" s="2" t="n">
        <v>77</v>
      </c>
      <c r="G336" s="2" t="n">
        <v>400</v>
      </c>
      <c r="H336" s="2" t="n">
        <v>400</v>
      </c>
      <c r="I336" s="2" t="n">
        <v>30</v>
      </c>
      <c r="J336" s="2"/>
      <c r="K336" s="2" t="n">
        <v>1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1</v>
      </c>
      <c r="Q336" s="2" t="n">
        <v>1</v>
      </c>
      <c r="R336" s="2" t="n">
        <v>0</v>
      </c>
      <c r="S336" s="2" t="n">
        <f aca="false">A337-A336</f>
        <v>0.200000000000017</v>
      </c>
      <c r="T336" s="2" t="n">
        <f aca="false">C336+Summary!$C$8*D336</f>
        <v>0.148965</v>
      </c>
      <c r="U336" s="2" t="n">
        <f aca="false">B336*T336</f>
        <v>1.75868079</v>
      </c>
      <c r="V336" s="2" t="n">
        <f aca="false">B336*C336</f>
        <v>1.65284</v>
      </c>
    </row>
    <row r="337" customFormat="false" ht="15" hidden="false" customHeight="false" outlineLevel="0" collapsed="false">
      <c r="A337" s="2" t="n">
        <v>241.86</v>
      </c>
      <c r="B337" s="2" t="n">
        <v>11.814</v>
      </c>
      <c r="C337" s="2" t="n">
        <v>0.102</v>
      </c>
      <c r="D337" s="2" t="n">
        <v>0.117</v>
      </c>
      <c r="E337" s="2" t="n">
        <v>0</v>
      </c>
      <c r="F337" s="2" t="n">
        <v>77</v>
      </c>
      <c r="G337" s="2" t="n">
        <v>400</v>
      </c>
      <c r="H337" s="2" t="n">
        <v>400</v>
      </c>
      <c r="I337" s="2" t="n">
        <v>30</v>
      </c>
      <c r="J337" s="2"/>
      <c r="K337" s="2" t="n">
        <v>1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1</v>
      </c>
      <c r="Q337" s="2" t="n">
        <v>1</v>
      </c>
      <c r="R337" s="2" t="n">
        <v>0</v>
      </c>
      <c r="S337" s="2" t="n">
        <f aca="false">A338-A337</f>
        <v>0.199999999999989</v>
      </c>
      <c r="T337" s="2" t="n">
        <f aca="false">C337+Summary!$C$8*D337</f>
        <v>0.1115355</v>
      </c>
      <c r="U337" s="2" t="n">
        <f aca="false">B337*T337</f>
        <v>1.317680397</v>
      </c>
      <c r="V337" s="2" t="n">
        <f aca="false">B337*C337</f>
        <v>1.205028</v>
      </c>
    </row>
    <row r="338" customFormat="false" ht="15" hidden="false" customHeight="false" outlineLevel="0" collapsed="false">
      <c r="A338" s="2" t="n">
        <v>242.06</v>
      </c>
      <c r="B338" s="2" t="n">
        <v>11.818</v>
      </c>
      <c r="C338" s="2" t="n">
        <v>0.102</v>
      </c>
      <c r="D338" s="2" t="n">
        <v>0.115</v>
      </c>
      <c r="E338" s="2" t="n">
        <v>0</v>
      </c>
      <c r="F338" s="2" t="n">
        <v>77</v>
      </c>
      <c r="G338" s="2" t="n">
        <v>400</v>
      </c>
      <c r="H338" s="2" t="n">
        <v>400</v>
      </c>
      <c r="I338" s="2" t="n">
        <v>30</v>
      </c>
      <c r="J338" s="2"/>
      <c r="K338" s="2" t="n">
        <v>1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1</v>
      </c>
      <c r="Q338" s="2" t="n">
        <v>1</v>
      </c>
      <c r="R338" s="2" t="n">
        <v>0</v>
      </c>
      <c r="S338" s="2" t="n">
        <f aca="false">A339-A338</f>
        <v>0.199999999999989</v>
      </c>
      <c r="T338" s="2" t="n">
        <f aca="false">C338+Summary!$C$8*D338</f>
        <v>0.1113725</v>
      </c>
      <c r="U338" s="2" t="n">
        <f aca="false">B338*T338</f>
        <v>1.316200205</v>
      </c>
      <c r="V338" s="2" t="n">
        <f aca="false">B338*C338</f>
        <v>1.205436</v>
      </c>
    </row>
    <row r="339" customFormat="false" ht="15" hidden="false" customHeight="false" outlineLevel="0" collapsed="false">
      <c r="A339" s="2" t="n">
        <v>242.26</v>
      </c>
      <c r="B339" s="2" t="n">
        <v>11.814</v>
      </c>
      <c r="C339" s="2" t="n">
        <v>0.102</v>
      </c>
      <c r="D339" s="2" t="n">
        <v>0.116</v>
      </c>
      <c r="E339" s="2" t="n">
        <v>0</v>
      </c>
      <c r="F339" s="2" t="n">
        <v>77</v>
      </c>
      <c r="G339" s="2" t="n">
        <v>400</v>
      </c>
      <c r="H339" s="2" t="n">
        <v>400</v>
      </c>
      <c r="I339" s="2" t="n">
        <v>30</v>
      </c>
      <c r="J339" s="2"/>
      <c r="K339" s="2" t="n">
        <v>1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1</v>
      </c>
      <c r="Q339" s="2" t="n">
        <v>1</v>
      </c>
      <c r="R339" s="2" t="n">
        <v>0</v>
      </c>
      <c r="S339" s="2" t="n">
        <f aca="false">A340-A339</f>
        <v>0.200000000000017</v>
      </c>
      <c r="T339" s="2" t="n">
        <f aca="false">C339+Summary!$C$8*D339</f>
        <v>0.111454</v>
      </c>
      <c r="U339" s="2" t="n">
        <f aca="false">B339*T339</f>
        <v>1.316717556</v>
      </c>
      <c r="V339" s="2" t="n">
        <f aca="false">B339*C339</f>
        <v>1.205028</v>
      </c>
    </row>
    <row r="340" customFormat="false" ht="15" hidden="false" customHeight="false" outlineLevel="0" collapsed="false">
      <c r="A340" s="2" t="n">
        <v>242.46</v>
      </c>
      <c r="B340" s="2" t="n">
        <v>11.818</v>
      </c>
      <c r="C340" s="2" t="n">
        <v>0.102</v>
      </c>
      <c r="D340" s="2" t="n">
        <v>0.122</v>
      </c>
      <c r="E340" s="2" t="n">
        <v>0</v>
      </c>
      <c r="F340" s="2" t="n">
        <v>77</v>
      </c>
      <c r="G340" s="2" t="n">
        <v>400</v>
      </c>
      <c r="H340" s="2" t="n">
        <v>400</v>
      </c>
      <c r="I340" s="2" t="n">
        <v>30</v>
      </c>
      <c r="J340" s="2"/>
      <c r="K340" s="2" t="n">
        <v>1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1</v>
      </c>
      <c r="Q340" s="2" t="n">
        <v>1</v>
      </c>
      <c r="R340" s="2" t="n">
        <v>0</v>
      </c>
      <c r="S340" s="2" t="n">
        <f aca="false">A341-A340</f>
        <v>0.199999999999989</v>
      </c>
      <c r="T340" s="2" t="n">
        <f aca="false">C340+Summary!$C$8*D340</f>
        <v>0.111943</v>
      </c>
      <c r="U340" s="2" t="n">
        <f aca="false">B340*T340</f>
        <v>1.322942374</v>
      </c>
      <c r="V340" s="2" t="n">
        <f aca="false">B340*C340</f>
        <v>1.205436</v>
      </c>
    </row>
    <row r="341" customFormat="false" ht="15" hidden="false" customHeight="false" outlineLevel="0" collapsed="false">
      <c r="A341" s="2" t="n">
        <v>242.66</v>
      </c>
      <c r="B341" s="2" t="n">
        <v>11.818</v>
      </c>
      <c r="C341" s="2" t="n">
        <v>0.102</v>
      </c>
      <c r="D341" s="2" t="n">
        <v>0.11</v>
      </c>
      <c r="E341" s="2" t="n">
        <v>0</v>
      </c>
      <c r="F341" s="2" t="n">
        <v>77</v>
      </c>
      <c r="G341" s="2" t="n">
        <v>400</v>
      </c>
      <c r="H341" s="2" t="n">
        <v>400</v>
      </c>
      <c r="I341" s="2" t="n">
        <v>30</v>
      </c>
      <c r="J341" s="2"/>
      <c r="K341" s="2" t="n">
        <v>1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1</v>
      </c>
      <c r="Q341" s="2" t="n">
        <v>1</v>
      </c>
      <c r="R341" s="2" t="n">
        <v>0</v>
      </c>
      <c r="S341" s="2" t="n">
        <f aca="false">A342-A341</f>
        <v>0.200000000000017</v>
      </c>
      <c r="T341" s="2" t="n">
        <f aca="false">C341+Summary!$C$8*D341</f>
        <v>0.110965</v>
      </c>
      <c r="U341" s="2" t="n">
        <f aca="false">B341*T341</f>
        <v>1.31138437</v>
      </c>
      <c r="V341" s="2" t="n">
        <f aca="false">B341*C341</f>
        <v>1.205436</v>
      </c>
    </row>
    <row r="342" customFormat="false" ht="15" hidden="false" customHeight="false" outlineLevel="0" collapsed="false">
      <c r="A342" s="2" t="n">
        <v>242.86</v>
      </c>
      <c r="B342" s="2" t="n">
        <v>11.814</v>
      </c>
      <c r="C342" s="2" t="n">
        <v>0.103</v>
      </c>
      <c r="D342" s="2" t="n">
        <v>0.101</v>
      </c>
      <c r="E342" s="2" t="n">
        <v>0</v>
      </c>
      <c r="F342" s="2" t="n">
        <v>77</v>
      </c>
      <c r="G342" s="2" t="n">
        <v>400</v>
      </c>
      <c r="H342" s="2" t="n">
        <v>400</v>
      </c>
      <c r="I342" s="2" t="n">
        <v>30</v>
      </c>
      <c r="J342" s="2"/>
      <c r="K342" s="2" t="n">
        <v>1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1</v>
      </c>
      <c r="Q342" s="2" t="n">
        <v>1</v>
      </c>
      <c r="R342" s="2" t="n">
        <v>0</v>
      </c>
      <c r="S342" s="2" t="n">
        <f aca="false">A343-A342</f>
        <v>0.199999999999989</v>
      </c>
      <c r="T342" s="2" t="n">
        <f aca="false">C342+Summary!$C$8*D342</f>
        <v>0.1112315</v>
      </c>
      <c r="U342" s="2" t="n">
        <f aca="false">B342*T342</f>
        <v>1.314088941</v>
      </c>
      <c r="V342" s="2" t="n">
        <f aca="false">B342*C342</f>
        <v>1.216842</v>
      </c>
    </row>
    <row r="343" customFormat="false" ht="15" hidden="false" customHeight="false" outlineLevel="0" collapsed="false">
      <c r="A343" s="2" t="n">
        <v>243.06</v>
      </c>
      <c r="B343" s="2" t="n">
        <v>11.814</v>
      </c>
      <c r="C343" s="2" t="n">
        <v>0.103</v>
      </c>
      <c r="D343" s="2" t="n">
        <v>0.103</v>
      </c>
      <c r="E343" s="2" t="n">
        <v>0</v>
      </c>
      <c r="F343" s="2" t="n">
        <v>77</v>
      </c>
      <c r="G343" s="2" t="n">
        <v>400</v>
      </c>
      <c r="H343" s="2" t="n">
        <v>400</v>
      </c>
      <c r="I343" s="2" t="n">
        <v>30</v>
      </c>
      <c r="J343" s="2"/>
      <c r="K343" s="2" t="n">
        <v>1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1</v>
      </c>
      <c r="Q343" s="2" t="n">
        <v>1</v>
      </c>
      <c r="R343" s="2" t="n">
        <v>0</v>
      </c>
      <c r="S343" s="2" t="n">
        <f aca="false">A344-A343</f>
        <v>0.199999999999989</v>
      </c>
      <c r="T343" s="2" t="n">
        <f aca="false">C343+Summary!$C$8*D343</f>
        <v>0.1113945</v>
      </c>
      <c r="U343" s="2" t="n">
        <f aca="false">B343*T343</f>
        <v>1.316014623</v>
      </c>
      <c r="V343" s="2" t="n">
        <f aca="false">B343*C343</f>
        <v>1.216842</v>
      </c>
    </row>
    <row r="344" customFormat="false" ht="15" hidden="false" customHeight="false" outlineLevel="0" collapsed="false">
      <c r="A344" s="2" t="n">
        <v>243.26</v>
      </c>
      <c r="B344" s="2" t="n">
        <v>11.818</v>
      </c>
      <c r="C344" s="2" t="n">
        <v>0.102</v>
      </c>
      <c r="D344" s="2" t="n">
        <v>0.113</v>
      </c>
      <c r="E344" s="2" t="n">
        <v>0</v>
      </c>
      <c r="F344" s="2" t="n">
        <v>77</v>
      </c>
      <c r="G344" s="2" t="n">
        <v>400</v>
      </c>
      <c r="H344" s="2" t="n">
        <v>400</v>
      </c>
      <c r="I344" s="2" t="n">
        <v>30</v>
      </c>
      <c r="J344" s="2"/>
      <c r="K344" s="2" t="n">
        <v>1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1</v>
      </c>
      <c r="Q344" s="2" t="n">
        <v>1</v>
      </c>
      <c r="R344" s="2" t="n">
        <v>0</v>
      </c>
      <c r="S344" s="2" t="n">
        <f aca="false">A345-A344</f>
        <v>0.200000000000017</v>
      </c>
      <c r="T344" s="2" t="n">
        <f aca="false">C344+Summary!$C$8*D344</f>
        <v>0.1112095</v>
      </c>
      <c r="U344" s="2" t="n">
        <f aca="false">B344*T344</f>
        <v>1.314273871</v>
      </c>
      <c r="V344" s="2" t="n">
        <f aca="false">B344*C344</f>
        <v>1.205436</v>
      </c>
    </row>
    <row r="345" customFormat="false" ht="15" hidden="false" customHeight="false" outlineLevel="0" collapsed="false">
      <c r="A345" s="2" t="n">
        <v>243.46</v>
      </c>
      <c r="B345" s="2" t="n">
        <v>11.814</v>
      </c>
      <c r="C345" s="2" t="n">
        <v>0.103</v>
      </c>
      <c r="D345" s="2" t="n">
        <v>0.112</v>
      </c>
      <c r="E345" s="2" t="n">
        <v>0</v>
      </c>
      <c r="F345" s="2" t="n">
        <v>77</v>
      </c>
      <c r="G345" s="2" t="n">
        <v>400</v>
      </c>
      <c r="H345" s="2" t="n">
        <v>400</v>
      </c>
      <c r="I345" s="2" t="n">
        <v>30</v>
      </c>
      <c r="J345" s="2"/>
      <c r="K345" s="2" t="n">
        <v>1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1</v>
      </c>
      <c r="Q345" s="2" t="n">
        <v>1</v>
      </c>
      <c r="R345" s="2" t="n">
        <v>0</v>
      </c>
      <c r="S345" s="2" t="n">
        <f aca="false">A346-A345</f>
        <v>0.199999999999989</v>
      </c>
      <c r="T345" s="2" t="n">
        <f aca="false">C345+Summary!$C$8*D345</f>
        <v>0.112128</v>
      </c>
      <c r="U345" s="2" t="n">
        <f aca="false">B345*T345</f>
        <v>1.324680192</v>
      </c>
      <c r="V345" s="2" t="n">
        <f aca="false">B345*C345</f>
        <v>1.216842</v>
      </c>
    </row>
    <row r="346" customFormat="false" ht="15" hidden="false" customHeight="false" outlineLevel="0" collapsed="false">
      <c r="A346" s="2" t="n">
        <v>243.66</v>
      </c>
      <c r="B346" s="2" t="n">
        <v>11.814</v>
      </c>
      <c r="C346" s="2" t="n">
        <v>0.103</v>
      </c>
      <c r="D346" s="2" t="n">
        <v>0.113</v>
      </c>
      <c r="E346" s="2" t="n">
        <v>0</v>
      </c>
      <c r="F346" s="2" t="n">
        <v>77</v>
      </c>
      <c r="G346" s="2" t="n">
        <v>400</v>
      </c>
      <c r="H346" s="2" t="n">
        <v>400</v>
      </c>
      <c r="I346" s="2" t="n">
        <v>30</v>
      </c>
      <c r="J346" s="2"/>
      <c r="K346" s="2" t="n">
        <v>1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1</v>
      </c>
      <c r="Q346" s="2" t="n">
        <v>1</v>
      </c>
      <c r="R346" s="2" t="n">
        <v>0</v>
      </c>
      <c r="S346" s="2" t="n">
        <f aca="false">A347-A346</f>
        <v>0.200000000000017</v>
      </c>
      <c r="T346" s="2" t="n">
        <f aca="false">C346+Summary!$C$8*D346</f>
        <v>0.1122095</v>
      </c>
      <c r="U346" s="2" t="n">
        <f aca="false">B346*T346</f>
        <v>1.325643033</v>
      </c>
      <c r="V346" s="2" t="n">
        <f aca="false">B346*C346</f>
        <v>1.216842</v>
      </c>
    </row>
    <row r="347" customFormat="false" ht="15" hidden="false" customHeight="false" outlineLevel="0" collapsed="false">
      <c r="A347" s="2" t="n">
        <v>243.86</v>
      </c>
      <c r="B347" s="2" t="n">
        <v>11.814</v>
      </c>
      <c r="C347" s="2" t="n">
        <v>0.102</v>
      </c>
      <c r="D347" s="2" t="n">
        <v>0.109</v>
      </c>
      <c r="E347" s="2" t="n">
        <v>0</v>
      </c>
      <c r="F347" s="2" t="n">
        <v>77</v>
      </c>
      <c r="G347" s="2" t="n">
        <v>400</v>
      </c>
      <c r="H347" s="2" t="n">
        <v>400</v>
      </c>
      <c r="I347" s="2" t="n">
        <v>30</v>
      </c>
      <c r="J347" s="2"/>
      <c r="K347" s="2" t="n">
        <v>1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1</v>
      </c>
      <c r="Q347" s="2" t="n">
        <v>1</v>
      </c>
      <c r="R347" s="2" t="n">
        <v>0</v>
      </c>
      <c r="S347" s="2" t="n">
        <f aca="false">A348-A347</f>
        <v>0.199999999999989</v>
      </c>
      <c r="T347" s="2" t="n">
        <f aca="false">C347+Summary!$C$8*D347</f>
        <v>0.1108835</v>
      </c>
      <c r="U347" s="2" t="n">
        <f aca="false">B347*T347</f>
        <v>1.309977669</v>
      </c>
      <c r="V347" s="2" t="n">
        <f aca="false">B347*C347</f>
        <v>1.205028</v>
      </c>
    </row>
    <row r="348" customFormat="false" ht="15" hidden="false" customHeight="false" outlineLevel="0" collapsed="false">
      <c r="A348" s="2" t="n">
        <v>244.06</v>
      </c>
      <c r="B348" s="2" t="n">
        <v>11.814</v>
      </c>
      <c r="C348" s="2" t="n">
        <v>0.104</v>
      </c>
      <c r="D348" s="2" t="n">
        <v>0.109</v>
      </c>
      <c r="E348" s="2" t="n">
        <v>0</v>
      </c>
      <c r="F348" s="2" t="n">
        <v>77</v>
      </c>
      <c r="G348" s="2" t="n">
        <v>400</v>
      </c>
      <c r="H348" s="2" t="n">
        <v>400</v>
      </c>
      <c r="I348" s="2" t="n">
        <v>30</v>
      </c>
      <c r="J348" s="2"/>
      <c r="K348" s="2" t="n">
        <v>1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1</v>
      </c>
      <c r="Q348" s="2" t="n">
        <v>1</v>
      </c>
      <c r="R348" s="2" t="n">
        <v>0</v>
      </c>
      <c r="S348" s="2" t="n">
        <f aca="false">A349-A348</f>
        <v>0.199999999999989</v>
      </c>
      <c r="T348" s="2" t="n">
        <f aca="false">C348+Summary!$C$8*D348</f>
        <v>0.1128835</v>
      </c>
      <c r="U348" s="2" t="n">
        <f aca="false">B348*T348</f>
        <v>1.333605669</v>
      </c>
      <c r="V348" s="2" t="n">
        <f aca="false">B348*C348</f>
        <v>1.228656</v>
      </c>
    </row>
    <row r="349" customFormat="false" ht="15" hidden="false" customHeight="false" outlineLevel="0" collapsed="false">
      <c r="A349" s="2" t="n">
        <v>244.26</v>
      </c>
      <c r="B349" s="2" t="n">
        <v>11.814</v>
      </c>
      <c r="C349" s="2" t="n">
        <v>0.104</v>
      </c>
      <c r="D349" s="2" t="n">
        <v>0.103</v>
      </c>
      <c r="E349" s="2" t="n">
        <v>0</v>
      </c>
      <c r="F349" s="2" t="n">
        <v>77</v>
      </c>
      <c r="G349" s="2" t="n">
        <v>400</v>
      </c>
      <c r="H349" s="2" t="n">
        <v>400</v>
      </c>
      <c r="I349" s="2" t="n">
        <v>30</v>
      </c>
      <c r="J349" s="2"/>
      <c r="K349" s="2" t="n">
        <v>1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1</v>
      </c>
      <c r="Q349" s="2" t="n">
        <v>1</v>
      </c>
      <c r="R349" s="2" t="n">
        <v>0</v>
      </c>
      <c r="S349" s="2" t="n">
        <f aca="false">A350-A349</f>
        <v>0.200000000000017</v>
      </c>
      <c r="T349" s="2" t="n">
        <f aca="false">C349+Summary!$C$8*D349</f>
        <v>0.1123945</v>
      </c>
      <c r="U349" s="2" t="n">
        <f aca="false">B349*T349</f>
        <v>1.327828623</v>
      </c>
      <c r="V349" s="2" t="n">
        <f aca="false">B349*C349</f>
        <v>1.228656</v>
      </c>
    </row>
    <row r="350" customFormat="false" ht="15" hidden="false" customHeight="false" outlineLevel="0" collapsed="false">
      <c r="A350" s="2" t="n">
        <v>244.46</v>
      </c>
      <c r="B350" s="2" t="n">
        <v>11.814</v>
      </c>
      <c r="C350" s="2" t="n">
        <v>0.104</v>
      </c>
      <c r="D350" s="2" t="n">
        <v>0.101</v>
      </c>
      <c r="E350" s="2" t="n">
        <v>0</v>
      </c>
      <c r="F350" s="2" t="n">
        <v>77</v>
      </c>
      <c r="G350" s="2" t="n">
        <v>400</v>
      </c>
      <c r="H350" s="2" t="n">
        <v>400</v>
      </c>
      <c r="I350" s="2" t="n">
        <v>29</v>
      </c>
      <c r="J350" s="2"/>
      <c r="K350" s="2" t="n">
        <v>1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1</v>
      </c>
      <c r="Q350" s="2" t="n">
        <v>1</v>
      </c>
      <c r="R350" s="2" t="n">
        <v>0</v>
      </c>
      <c r="S350" s="2" t="n">
        <f aca="false">A351-A350</f>
        <v>0.199999999999989</v>
      </c>
      <c r="T350" s="2" t="n">
        <f aca="false">C350+Summary!$C$8*D350</f>
        <v>0.1122315</v>
      </c>
      <c r="U350" s="2" t="n">
        <f aca="false">B350*T350</f>
        <v>1.325902941</v>
      </c>
      <c r="V350" s="2" t="n">
        <f aca="false">B350*C350</f>
        <v>1.228656</v>
      </c>
    </row>
    <row r="351" customFormat="false" ht="15" hidden="false" customHeight="false" outlineLevel="0" collapsed="false">
      <c r="A351" s="2" t="n">
        <v>244.66</v>
      </c>
      <c r="B351" s="2" t="n">
        <v>11.814</v>
      </c>
      <c r="C351" s="2" t="n">
        <v>0.104</v>
      </c>
      <c r="D351" s="2" t="n">
        <v>0.1</v>
      </c>
      <c r="E351" s="2" t="n">
        <v>0</v>
      </c>
      <c r="F351" s="2" t="n">
        <v>77</v>
      </c>
      <c r="G351" s="2" t="n">
        <v>400</v>
      </c>
      <c r="H351" s="2" t="n">
        <v>400</v>
      </c>
      <c r="I351" s="2" t="n">
        <v>29</v>
      </c>
      <c r="J351" s="2"/>
      <c r="K351" s="2" t="n">
        <v>1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1</v>
      </c>
      <c r="Q351" s="2" t="n">
        <v>1</v>
      </c>
      <c r="R351" s="2" t="n">
        <v>0</v>
      </c>
      <c r="S351" s="2" t="n">
        <f aca="false">A352-A351</f>
        <v>0.200000000000017</v>
      </c>
      <c r="T351" s="2" t="n">
        <f aca="false">C351+Summary!$C$8*D351</f>
        <v>0.11215</v>
      </c>
      <c r="U351" s="2" t="n">
        <f aca="false">B351*T351</f>
        <v>1.3249401</v>
      </c>
      <c r="V351" s="2" t="n">
        <f aca="false">B351*C351</f>
        <v>1.228656</v>
      </c>
    </row>
    <row r="352" customFormat="false" ht="15" hidden="false" customHeight="false" outlineLevel="0" collapsed="false">
      <c r="A352" s="2" t="n">
        <v>244.86</v>
      </c>
      <c r="B352" s="2" t="n">
        <v>11.814</v>
      </c>
      <c r="C352" s="2" t="n">
        <v>0.103</v>
      </c>
      <c r="D352" s="2" t="n">
        <v>0.105</v>
      </c>
      <c r="E352" s="2" t="n">
        <v>0</v>
      </c>
      <c r="F352" s="2" t="n">
        <v>77</v>
      </c>
      <c r="G352" s="2" t="n">
        <v>400</v>
      </c>
      <c r="H352" s="2" t="n">
        <v>400</v>
      </c>
      <c r="I352" s="2" t="n">
        <v>30</v>
      </c>
      <c r="J352" s="2"/>
      <c r="K352" s="2" t="n">
        <v>1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1</v>
      </c>
      <c r="Q352" s="2" t="n">
        <v>1</v>
      </c>
      <c r="R352" s="2" t="n">
        <v>0</v>
      </c>
      <c r="S352" s="2" t="n">
        <f aca="false">A353-A352</f>
        <v>0.199999999999989</v>
      </c>
      <c r="T352" s="2" t="n">
        <f aca="false">C352+Summary!$C$8*D352</f>
        <v>0.1115575</v>
      </c>
      <c r="U352" s="2" t="n">
        <f aca="false">B352*T352</f>
        <v>1.317940305</v>
      </c>
      <c r="V352" s="2" t="n">
        <f aca="false">B352*C352</f>
        <v>1.216842</v>
      </c>
    </row>
    <row r="353" customFormat="false" ht="15" hidden="false" customHeight="false" outlineLevel="0" collapsed="false">
      <c r="A353" s="2" t="n">
        <v>245.06</v>
      </c>
      <c r="B353" s="2" t="n">
        <v>11.814</v>
      </c>
      <c r="C353" s="2" t="n">
        <v>0.103</v>
      </c>
      <c r="D353" s="2" t="n">
        <v>0.105</v>
      </c>
      <c r="E353" s="2" t="n">
        <v>0</v>
      </c>
      <c r="F353" s="2" t="n">
        <v>76</v>
      </c>
      <c r="G353" s="2" t="n">
        <v>400</v>
      </c>
      <c r="H353" s="2" t="n">
        <v>400</v>
      </c>
      <c r="I353" s="2" t="n">
        <v>31</v>
      </c>
      <c r="J353" s="2"/>
      <c r="K353" s="2" t="n">
        <v>1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1</v>
      </c>
      <c r="Q353" s="2" t="n">
        <v>1</v>
      </c>
      <c r="R353" s="2" t="n">
        <v>0</v>
      </c>
      <c r="S353" s="2" t="n">
        <f aca="false">A354-A353</f>
        <v>0.199999999999989</v>
      </c>
      <c r="T353" s="2" t="n">
        <f aca="false">C353+Summary!$C$8*D353</f>
        <v>0.1115575</v>
      </c>
      <c r="U353" s="2" t="n">
        <f aca="false">B353*T353</f>
        <v>1.317940305</v>
      </c>
      <c r="V353" s="2" t="n">
        <f aca="false">B353*C353</f>
        <v>1.216842</v>
      </c>
    </row>
    <row r="354" customFormat="false" ht="15" hidden="false" customHeight="false" outlineLevel="0" collapsed="false">
      <c r="A354" s="2" t="n">
        <v>245.26</v>
      </c>
      <c r="B354" s="2" t="n">
        <v>11.814</v>
      </c>
      <c r="C354" s="2" t="n">
        <v>0.103</v>
      </c>
      <c r="D354" s="2" t="n">
        <v>0.109</v>
      </c>
      <c r="E354" s="2" t="n">
        <v>0</v>
      </c>
      <c r="F354" s="2" t="n">
        <v>76</v>
      </c>
      <c r="G354" s="2" t="n">
        <v>400</v>
      </c>
      <c r="H354" s="2" t="n">
        <v>400</v>
      </c>
      <c r="I354" s="2" t="n">
        <v>30</v>
      </c>
      <c r="J354" s="2"/>
      <c r="K354" s="2" t="n">
        <v>1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1</v>
      </c>
      <c r="Q354" s="2" t="n">
        <v>1</v>
      </c>
      <c r="R354" s="2" t="n">
        <v>0</v>
      </c>
      <c r="S354" s="2" t="n">
        <f aca="false">A355-A354</f>
        <v>0.200000000000017</v>
      </c>
      <c r="T354" s="2" t="n">
        <f aca="false">C354+Summary!$C$8*D354</f>
        <v>0.1118835</v>
      </c>
      <c r="U354" s="2" t="n">
        <f aca="false">B354*T354</f>
        <v>1.321791669</v>
      </c>
      <c r="V354" s="2" t="n">
        <f aca="false">B354*C354</f>
        <v>1.216842</v>
      </c>
    </row>
    <row r="355" customFormat="false" ht="15" hidden="false" customHeight="false" outlineLevel="0" collapsed="false">
      <c r="A355" s="2" t="n">
        <v>245.46</v>
      </c>
      <c r="B355" s="2" t="n">
        <v>11.814</v>
      </c>
      <c r="C355" s="2" t="n">
        <v>0.106</v>
      </c>
      <c r="D355" s="2" t="n">
        <v>0.115</v>
      </c>
      <c r="E355" s="2" t="n">
        <v>0</v>
      </c>
      <c r="F355" s="2" t="n">
        <v>76</v>
      </c>
      <c r="G355" s="2" t="n">
        <v>400</v>
      </c>
      <c r="H355" s="2" t="n">
        <v>400</v>
      </c>
      <c r="I355" s="2" t="n">
        <v>31</v>
      </c>
      <c r="J355" s="2"/>
      <c r="K355" s="2" t="n">
        <v>1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1</v>
      </c>
      <c r="Q355" s="2" t="n">
        <v>1</v>
      </c>
      <c r="R355" s="2" t="n">
        <v>0</v>
      </c>
      <c r="S355" s="2" t="n">
        <f aca="false">A356-A355</f>
        <v>0.199999999999989</v>
      </c>
      <c r="T355" s="2" t="n">
        <f aca="false">C355+Summary!$C$8*D355</f>
        <v>0.1153725</v>
      </c>
      <c r="U355" s="2" t="n">
        <f aca="false">B355*T355</f>
        <v>1.363010715</v>
      </c>
      <c r="V355" s="2" t="n">
        <f aca="false">B355*C355</f>
        <v>1.252284</v>
      </c>
    </row>
    <row r="356" customFormat="false" ht="15" hidden="false" customHeight="false" outlineLevel="0" collapsed="false">
      <c r="A356" s="2" t="n">
        <v>245.66</v>
      </c>
      <c r="B356" s="2" t="n">
        <v>11.814</v>
      </c>
      <c r="C356" s="2" t="n">
        <v>0.102</v>
      </c>
      <c r="D356" s="2" t="n">
        <v>0.117</v>
      </c>
      <c r="E356" s="2" t="n">
        <v>0</v>
      </c>
      <c r="F356" s="2" t="n">
        <v>76</v>
      </c>
      <c r="G356" s="2" t="n">
        <v>400</v>
      </c>
      <c r="H356" s="2" t="n">
        <v>400</v>
      </c>
      <c r="I356" s="2" t="n">
        <v>31</v>
      </c>
      <c r="J356" s="2"/>
      <c r="K356" s="2" t="n">
        <v>1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1</v>
      </c>
      <c r="Q356" s="2" t="n">
        <v>1</v>
      </c>
      <c r="R356" s="2" t="n">
        <v>0</v>
      </c>
      <c r="S356" s="2" t="n">
        <f aca="false">A357-A356</f>
        <v>0.200000000000017</v>
      </c>
      <c r="T356" s="2" t="n">
        <f aca="false">C356+Summary!$C$8*D356</f>
        <v>0.1115355</v>
      </c>
      <c r="U356" s="2" t="n">
        <f aca="false">B356*T356</f>
        <v>1.317680397</v>
      </c>
      <c r="V356" s="2" t="n">
        <f aca="false">B356*C356</f>
        <v>1.205028</v>
      </c>
    </row>
    <row r="357" customFormat="false" ht="15" hidden="false" customHeight="false" outlineLevel="0" collapsed="false">
      <c r="A357" s="2" t="n">
        <v>245.86</v>
      </c>
      <c r="B357" s="2" t="n">
        <v>11.814</v>
      </c>
      <c r="C357" s="2" t="n">
        <v>0.103</v>
      </c>
      <c r="D357" s="2" t="n">
        <v>0.113</v>
      </c>
      <c r="E357" s="2" t="n">
        <v>0</v>
      </c>
      <c r="F357" s="2" t="n">
        <v>76</v>
      </c>
      <c r="G357" s="2" t="n">
        <v>400</v>
      </c>
      <c r="H357" s="2" t="n">
        <v>400</v>
      </c>
      <c r="I357" s="2" t="n">
        <v>30</v>
      </c>
      <c r="J357" s="2"/>
      <c r="K357" s="2" t="n">
        <v>1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1</v>
      </c>
      <c r="Q357" s="2" t="n">
        <v>1</v>
      </c>
      <c r="R357" s="2" t="n">
        <v>0</v>
      </c>
      <c r="S357" s="2" t="n">
        <f aca="false">A358-A357</f>
        <v>0.199999999999989</v>
      </c>
      <c r="T357" s="2" t="n">
        <f aca="false">C357+Summary!$C$8*D357</f>
        <v>0.1122095</v>
      </c>
      <c r="U357" s="2" t="n">
        <f aca="false">B357*T357</f>
        <v>1.325643033</v>
      </c>
      <c r="V357" s="2" t="n">
        <f aca="false">B357*C357</f>
        <v>1.216842</v>
      </c>
    </row>
    <row r="358" customFormat="false" ht="15" hidden="false" customHeight="false" outlineLevel="0" collapsed="false">
      <c r="A358" s="2" t="n">
        <v>246.06</v>
      </c>
      <c r="B358" s="2" t="n">
        <v>11.814</v>
      </c>
      <c r="C358" s="2" t="n">
        <v>0.11</v>
      </c>
      <c r="D358" s="2" t="n">
        <v>0.117</v>
      </c>
      <c r="E358" s="2" t="n">
        <v>0</v>
      </c>
      <c r="F358" s="2" t="n">
        <v>76</v>
      </c>
      <c r="G358" s="2" t="n">
        <v>400</v>
      </c>
      <c r="H358" s="2" t="n">
        <v>400</v>
      </c>
      <c r="I358" s="2" t="n">
        <v>31</v>
      </c>
      <c r="J358" s="2"/>
      <c r="K358" s="2" t="n">
        <v>1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1</v>
      </c>
      <c r="Q358" s="2" t="n">
        <v>1</v>
      </c>
      <c r="R358" s="2" t="n">
        <v>0</v>
      </c>
      <c r="S358" s="2" t="n">
        <f aca="false">A359-A358</f>
        <v>0.199999999999989</v>
      </c>
      <c r="T358" s="2" t="n">
        <f aca="false">C358+Summary!$C$8*D358</f>
        <v>0.1195355</v>
      </c>
      <c r="U358" s="2" t="n">
        <f aca="false">B358*T358</f>
        <v>1.412192397</v>
      </c>
      <c r="V358" s="2" t="n">
        <f aca="false">B358*C358</f>
        <v>1.29954</v>
      </c>
    </row>
    <row r="359" customFormat="false" ht="15" hidden="false" customHeight="false" outlineLevel="0" collapsed="false">
      <c r="A359" s="2" t="n">
        <v>246.26</v>
      </c>
      <c r="B359" s="2" t="n">
        <v>11.813</v>
      </c>
      <c r="C359" s="2" t="n">
        <v>0.102</v>
      </c>
      <c r="D359" s="2" t="n">
        <v>0.123</v>
      </c>
      <c r="E359" s="2" t="n">
        <v>0</v>
      </c>
      <c r="F359" s="2" t="n">
        <v>76</v>
      </c>
      <c r="G359" s="2" t="n">
        <v>400</v>
      </c>
      <c r="H359" s="2" t="n">
        <v>400</v>
      </c>
      <c r="I359" s="2" t="n">
        <v>29</v>
      </c>
      <c r="J359" s="2"/>
      <c r="K359" s="2" t="n">
        <v>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1</v>
      </c>
      <c r="Q359" s="2" t="n">
        <v>1</v>
      </c>
      <c r="R359" s="2" t="n">
        <v>0</v>
      </c>
      <c r="S359" s="2" t="n">
        <f aca="false">A360-A359</f>
        <v>0.200000000000017</v>
      </c>
      <c r="T359" s="2" t="n">
        <f aca="false">C359+Summary!$C$8*D359</f>
        <v>0.1120245</v>
      </c>
      <c r="U359" s="2" t="n">
        <f aca="false">B359*T359</f>
        <v>1.3233454185</v>
      </c>
      <c r="V359" s="2" t="n">
        <f aca="false">B359*C359</f>
        <v>1.204926</v>
      </c>
    </row>
    <row r="360" customFormat="false" ht="15" hidden="false" customHeight="false" outlineLevel="0" collapsed="false">
      <c r="A360" s="2" t="n">
        <v>246.46</v>
      </c>
      <c r="B360" s="2" t="n">
        <v>11.814</v>
      </c>
      <c r="C360" s="2" t="n">
        <v>0.103</v>
      </c>
      <c r="D360" s="2" t="n">
        <v>0.128</v>
      </c>
      <c r="E360" s="2" t="n">
        <v>0</v>
      </c>
      <c r="F360" s="2" t="n">
        <v>76</v>
      </c>
      <c r="G360" s="2" t="n">
        <v>400</v>
      </c>
      <c r="H360" s="2" t="n">
        <v>400</v>
      </c>
      <c r="I360" s="2" t="n">
        <v>30</v>
      </c>
      <c r="J360" s="2"/>
      <c r="K360" s="2" t="n">
        <v>1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1</v>
      </c>
      <c r="Q360" s="2" t="n">
        <v>1</v>
      </c>
      <c r="R360" s="2" t="n">
        <v>0</v>
      </c>
      <c r="S360" s="2" t="n">
        <f aca="false">A361-A360</f>
        <v>0.199999999999989</v>
      </c>
      <c r="T360" s="2" t="n">
        <f aca="false">C360+Summary!$C$8*D360</f>
        <v>0.113432</v>
      </c>
      <c r="U360" s="2" t="n">
        <f aca="false">B360*T360</f>
        <v>1.340085648</v>
      </c>
      <c r="V360" s="2" t="n">
        <f aca="false">B360*C360</f>
        <v>1.216842</v>
      </c>
    </row>
    <row r="361" customFormat="false" ht="15" hidden="false" customHeight="false" outlineLevel="0" collapsed="false">
      <c r="A361" s="2" t="n">
        <v>246.66</v>
      </c>
      <c r="B361" s="2" t="n">
        <v>11.814</v>
      </c>
      <c r="C361" s="2" t="n">
        <v>0.101</v>
      </c>
      <c r="D361" s="2" t="n">
        <v>0.13</v>
      </c>
      <c r="E361" s="2" t="n">
        <v>0</v>
      </c>
      <c r="F361" s="2" t="n">
        <v>76</v>
      </c>
      <c r="G361" s="2" t="n">
        <v>400</v>
      </c>
      <c r="H361" s="2" t="n">
        <v>400</v>
      </c>
      <c r="I361" s="2" t="n">
        <v>30</v>
      </c>
      <c r="J361" s="2"/>
      <c r="K361" s="2" t="n">
        <v>1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1</v>
      </c>
      <c r="Q361" s="2" t="n">
        <v>1</v>
      </c>
      <c r="R361" s="2" t="n">
        <v>0</v>
      </c>
      <c r="S361" s="2" t="n">
        <f aca="false">A362-A361</f>
        <v>0.200000000000017</v>
      </c>
      <c r="T361" s="2" t="n">
        <f aca="false">C361+Summary!$C$8*D361</f>
        <v>0.111595</v>
      </c>
      <c r="U361" s="2" t="n">
        <f aca="false">B361*T361</f>
        <v>1.31838333</v>
      </c>
      <c r="V361" s="2" t="n">
        <f aca="false">B361*C361</f>
        <v>1.193214</v>
      </c>
    </row>
    <row r="362" customFormat="false" ht="15" hidden="false" customHeight="false" outlineLevel="0" collapsed="false">
      <c r="A362" s="2" t="n">
        <v>246.86</v>
      </c>
      <c r="B362" s="2" t="n">
        <v>11.814</v>
      </c>
      <c r="C362" s="2" t="n">
        <v>0.101</v>
      </c>
      <c r="D362" s="2" t="n">
        <v>0.125</v>
      </c>
      <c r="E362" s="2" t="n">
        <v>0</v>
      </c>
      <c r="F362" s="2" t="n">
        <v>76</v>
      </c>
      <c r="G362" s="2" t="n">
        <v>400</v>
      </c>
      <c r="H362" s="2" t="n">
        <v>400</v>
      </c>
      <c r="I362" s="2" t="n">
        <v>31</v>
      </c>
      <c r="J362" s="2"/>
      <c r="K362" s="2" t="n">
        <v>1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1</v>
      </c>
      <c r="Q362" s="2" t="n">
        <v>1</v>
      </c>
      <c r="R362" s="2" t="n">
        <v>0</v>
      </c>
      <c r="S362" s="2" t="n">
        <f aca="false">A363-A362</f>
        <v>0.199999999999989</v>
      </c>
      <c r="T362" s="2" t="n">
        <f aca="false">C362+Summary!$C$8*D362</f>
        <v>0.1111875</v>
      </c>
      <c r="U362" s="2" t="n">
        <f aca="false">B362*T362</f>
        <v>1.313569125</v>
      </c>
      <c r="V362" s="2" t="n">
        <f aca="false">B362*C362</f>
        <v>1.193214</v>
      </c>
    </row>
    <row r="363" customFormat="false" ht="15" hidden="false" customHeight="false" outlineLevel="0" collapsed="false">
      <c r="A363" s="2" t="n">
        <v>247.06</v>
      </c>
      <c r="B363" s="2" t="n">
        <v>11.814</v>
      </c>
      <c r="C363" s="2" t="n">
        <v>0.101</v>
      </c>
      <c r="D363" s="2" t="n">
        <v>0.128</v>
      </c>
      <c r="E363" s="2" t="n">
        <v>0</v>
      </c>
      <c r="F363" s="2" t="n">
        <v>76</v>
      </c>
      <c r="G363" s="2" t="n">
        <v>400</v>
      </c>
      <c r="H363" s="2" t="n">
        <v>400</v>
      </c>
      <c r="I363" s="2" t="n">
        <v>30</v>
      </c>
      <c r="J363" s="2"/>
      <c r="K363" s="2" t="n">
        <v>1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1</v>
      </c>
      <c r="Q363" s="2" t="n">
        <v>1</v>
      </c>
      <c r="R363" s="2" t="n">
        <v>0</v>
      </c>
      <c r="S363" s="2" t="n">
        <f aca="false">A364-A363</f>
        <v>0.199999999999989</v>
      </c>
      <c r="T363" s="2" t="n">
        <f aca="false">C363+Summary!$C$8*D363</f>
        <v>0.111432</v>
      </c>
      <c r="U363" s="2" t="n">
        <f aca="false">B363*T363</f>
        <v>1.316457648</v>
      </c>
      <c r="V363" s="2" t="n">
        <f aca="false">B363*C363</f>
        <v>1.193214</v>
      </c>
    </row>
    <row r="364" customFormat="false" ht="15" hidden="false" customHeight="false" outlineLevel="0" collapsed="false">
      <c r="A364" s="2" t="n">
        <v>247.26</v>
      </c>
      <c r="B364" s="2" t="n">
        <v>11.814</v>
      </c>
      <c r="C364" s="2" t="n">
        <v>0.1</v>
      </c>
      <c r="D364" s="2" t="n">
        <v>0.125</v>
      </c>
      <c r="E364" s="2" t="n">
        <v>0</v>
      </c>
      <c r="F364" s="2" t="n">
        <v>76</v>
      </c>
      <c r="G364" s="2" t="n">
        <v>400</v>
      </c>
      <c r="H364" s="2" t="n">
        <v>400</v>
      </c>
      <c r="I364" s="2" t="n">
        <v>30</v>
      </c>
      <c r="J364" s="2"/>
      <c r="K364" s="2" t="n">
        <v>1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1</v>
      </c>
      <c r="Q364" s="2" t="n">
        <v>1</v>
      </c>
      <c r="R364" s="2" t="n">
        <v>0</v>
      </c>
      <c r="S364" s="2" t="n">
        <f aca="false">A365-A364</f>
        <v>0.200000000000017</v>
      </c>
      <c r="T364" s="2" t="n">
        <f aca="false">C364+Summary!$C$8*D364</f>
        <v>0.1101875</v>
      </c>
      <c r="U364" s="2" t="n">
        <f aca="false">B364*T364</f>
        <v>1.301755125</v>
      </c>
      <c r="V364" s="2" t="n">
        <f aca="false">B364*C364</f>
        <v>1.1814</v>
      </c>
    </row>
    <row r="365" customFormat="false" ht="15" hidden="false" customHeight="false" outlineLevel="0" collapsed="false">
      <c r="A365" s="2" t="n">
        <v>247.46</v>
      </c>
      <c r="B365" s="2" t="n">
        <v>11.814</v>
      </c>
      <c r="C365" s="2" t="n">
        <v>0.11</v>
      </c>
      <c r="D365" s="2" t="n">
        <v>0.128</v>
      </c>
      <c r="E365" s="2" t="n">
        <v>0</v>
      </c>
      <c r="F365" s="2" t="n">
        <v>76</v>
      </c>
      <c r="G365" s="2" t="n">
        <v>400</v>
      </c>
      <c r="H365" s="2" t="n">
        <v>400</v>
      </c>
      <c r="I365" s="2" t="n">
        <v>30</v>
      </c>
      <c r="J365" s="2"/>
      <c r="K365" s="2" t="n">
        <v>1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1</v>
      </c>
      <c r="Q365" s="2" t="n">
        <v>1</v>
      </c>
      <c r="R365" s="2" t="n">
        <v>0</v>
      </c>
      <c r="S365" s="2" t="n">
        <f aca="false">A366-A365</f>
        <v>0.199999999999989</v>
      </c>
      <c r="T365" s="2" t="n">
        <f aca="false">C365+Summary!$C$8*D365</f>
        <v>0.120432</v>
      </c>
      <c r="U365" s="2" t="n">
        <f aca="false">B365*T365</f>
        <v>1.422783648</v>
      </c>
      <c r="V365" s="2" t="n">
        <f aca="false">B365*C365</f>
        <v>1.29954</v>
      </c>
    </row>
    <row r="366" customFormat="false" ht="15" hidden="false" customHeight="false" outlineLevel="0" collapsed="false">
      <c r="A366" s="2" t="n">
        <v>247.66</v>
      </c>
      <c r="B366" s="2" t="n">
        <v>11.814</v>
      </c>
      <c r="C366" s="2" t="n">
        <v>0.102</v>
      </c>
      <c r="D366" s="2" t="n">
        <v>0.124</v>
      </c>
      <c r="E366" s="2" t="n">
        <v>0</v>
      </c>
      <c r="F366" s="2" t="n">
        <v>76</v>
      </c>
      <c r="G366" s="2" t="n">
        <v>400</v>
      </c>
      <c r="H366" s="2" t="n">
        <v>400</v>
      </c>
      <c r="I366" s="2" t="n">
        <v>30</v>
      </c>
      <c r="J366" s="2"/>
      <c r="K366" s="2" t="n">
        <v>1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1</v>
      </c>
      <c r="Q366" s="2" t="n">
        <v>1</v>
      </c>
      <c r="R366" s="2" t="n">
        <v>0</v>
      </c>
      <c r="S366" s="2" t="n">
        <f aca="false">A367-A366</f>
        <v>0.200000000000017</v>
      </c>
      <c r="T366" s="2" t="n">
        <f aca="false">C366+Summary!$C$8*D366</f>
        <v>0.112106</v>
      </c>
      <c r="U366" s="2" t="n">
        <f aca="false">B366*T366</f>
        <v>1.324420284</v>
      </c>
      <c r="V366" s="2" t="n">
        <f aca="false">B366*C366</f>
        <v>1.205028</v>
      </c>
    </row>
    <row r="367" customFormat="false" ht="15" hidden="false" customHeight="false" outlineLevel="0" collapsed="false">
      <c r="A367" s="2" t="n">
        <v>247.86</v>
      </c>
      <c r="B367" s="2" t="n">
        <v>11.814</v>
      </c>
      <c r="C367" s="2" t="n">
        <v>0.101</v>
      </c>
      <c r="D367" s="2" t="n">
        <v>0.126</v>
      </c>
      <c r="E367" s="2" t="n">
        <v>0</v>
      </c>
      <c r="F367" s="2" t="n">
        <v>76</v>
      </c>
      <c r="G367" s="2" t="n">
        <v>400</v>
      </c>
      <c r="H367" s="2" t="n">
        <v>400</v>
      </c>
      <c r="I367" s="2" t="n">
        <v>30</v>
      </c>
      <c r="J367" s="2"/>
      <c r="K367" s="2" t="n">
        <v>1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1</v>
      </c>
      <c r="Q367" s="2" t="n">
        <v>1</v>
      </c>
      <c r="R367" s="2" t="n">
        <v>0</v>
      </c>
      <c r="S367" s="2" t="n">
        <f aca="false">A368-A367</f>
        <v>0.199999999999989</v>
      </c>
      <c r="T367" s="2" t="n">
        <f aca="false">C367+Summary!$C$8*D367</f>
        <v>0.111269</v>
      </c>
      <c r="U367" s="2" t="n">
        <f aca="false">B367*T367</f>
        <v>1.314531966</v>
      </c>
      <c r="V367" s="2" t="n">
        <f aca="false">B367*C367</f>
        <v>1.193214</v>
      </c>
    </row>
    <row r="368" customFormat="false" ht="15" hidden="false" customHeight="false" outlineLevel="0" collapsed="false">
      <c r="A368" s="2" t="n">
        <v>248.06</v>
      </c>
      <c r="B368" s="2" t="n">
        <v>11.814</v>
      </c>
      <c r="C368" s="2" t="n">
        <v>0.101</v>
      </c>
      <c r="D368" s="2" t="n">
        <v>0.122</v>
      </c>
      <c r="E368" s="2" t="n">
        <v>0</v>
      </c>
      <c r="F368" s="2" t="n">
        <v>76</v>
      </c>
      <c r="G368" s="2" t="n">
        <v>400</v>
      </c>
      <c r="H368" s="2" t="n">
        <v>400</v>
      </c>
      <c r="I368" s="2" t="n">
        <v>30</v>
      </c>
      <c r="J368" s="2"/>
      <c r="K368" s="2" t="n">
        <v>1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1</v>
      </c>
      <c r="Q368" s="2" t="n">
        <v>1</v>
      </c>
      <c r="R368" s="2" t="n">
        <v>0</v>
      </c>
      <c r="S368" s="2" t="n">
        <f aca="false">A369-A368</f>
        <v>0.199999999999989</v>
      </c>
      <c r="T368" s="2" t="n">
        <f aca="false">C368+Summary!$C$8*D368</f>
        <v>0.110943</v>
      </c>
      <c r="U368" s="2" t="n">
        <f aca="false">B368*T368</f>
        <v>1.310680602</v>
      </c>
      <c r="V368" s="2" t="n">
        <f aca="false">B368*C368</f>
        <v>1.193214</v>
      </c>
    </row>
    <row r="369" customFormat="false" ht="15" hidden="false" customHeight="false" outlineLevel="0" collapsed="false">
      <c r="A369" s="2" t="n">
        <v>248.26</v>
      </c>
      <c r="B369" s="2" t="n">
        <v>11.814</v>
      </c>
      <c r="C369" s="2" t="n">
        <v>0.101</v>
      </c>
      <c r="D369" s="2" t="n">
        <v>0.12</v>
      </c>
      <c r="E369" s="2" t="n">
        <v>0</v>
      </c>
      <c r="F369" s="2" t="n">
        <v>76</v>
      </c>
      <c r="G369" s="2" t="n">
        <v>400</v>
      </c>
      <c r="H369" s="2" t="n">
        <v>400</v>
      </c>
      <c r="I369" s="2" t="n">
        <v>30</v>
      </c>
      <c r="J369" s="2"/>
      <c r="K369" s="2" t="n">
        <v>1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1</v>
      </c>
      <c r="Q369" s="2" t="n">
        <v>1</v>
      </c>
      <c r="R369" s="2" t="n">
        <v>0</v>
      </c>
      <c r="S369" s="2" t="n">
        <f aca="false">A370-A369</f>
        <v>0.200000000000017</v>
      </c>
      <c r="T369" s="2" t="n">
        <f aca="false">C369+Summary!$C$8*D369</f>
        <v>0.11078</v>
      </c>
      <c r="U369" s="2" t="n">
        <f aca="false">B369*T369</f>
        <v>1.30875492</v>
      </c>
      <c r="V369" s="2" t="n">
        <f aca="false">B369*C369</f>
        <v>1.193214</v>
      </c>
    </row>
    <row r="370" customFormat="false" ht="15" hidden="false" customHeight="false" outlineLevel="0" collapsed="false">
      <c r="A370" s="2" t="n">
        <v>248.46</v>
      </c>
      <c r="B370" s="2" t="n">
        <v>11.814</v>
      </c>
      <c r="C370" s="2" t="n">
        <v>0.102</v>
      </c>
      <c r="D370" s="2" t="n">
        <v>0.121</v>
      </c>
      <c r="E370" s="2" t="n">
        <v>0</v>
      </c>
      <c r="F370" s="2" t="n">
        <v>76</v>
      </c>
      <c r="G370" s="2" t="n">
        <v>400</v>
      </c>
      <c r="H370" s="2" t="n">
        <v>400</v>
      </c>
      <c r="I370" s="2" t="n">
        <v>29</v>
      </c>
      <c r="J370" s="2"/>
      <c r="K370" s="2" t="n">
        <v>1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1</v>
      </c>
      <c r="Q370" s="2" t="n">
        <v>1</v>
      </c>
      <c r="R370" s="2" t="n">
        <v>0</v>
      </c>
      <c r="S370" s="2" t="n">
        <f aca="false">A371-A370</f>
        <v>0.199999999999989</v>
      </c>
      <c r="T370" s="2" t="n">
        <f aca="false">C370+Summary!$C$8*D370</f>
        <v>0.1118615</v>
      </c>
      <c r="U370" s="2" t="n">
        <f aca="false">B370*T370</f>
        <v>1.321531761</v>
      </c>
      <c r="V370" s="2" t="n">
        <f aca="false">B370*C370</f>
        <v>1.205028</v>
      </c>
    </row>
    <row r="371" customFormat="false" ht="15" hidden="false" customHeight="false" outlineLevel="0" collapsed="false">
      <c r="A371" s="2" t="n">
        <v>248.66</v>
      </c>
      <c r="B371" s="2" t="n">
        <v>11.81</v>
      </c>
      <c r="C371" s="2" t="n">
        <v>0.102</v>
      </c>
      <c r="D371" s="2" t="n">
        <v>0.119</v>
      </c>
      <c r="E371" s="2" t="n">
        <v>0</v>
      </c>
      <c r="F371" s="2" t="n">
        <v>76</v>
      </c>
      <c r="G371" s="2" t="n">
        <v>400</v>
      </c>
      <c r="H371" s="2" t="n">
        <v>400</v>
      </c>
      <c r="I371" s="2" t="n">
        <v>30</v>
      </c>
      <c r="J371" s="2"/>
      <c r="K371" s="2" t="n">
        <v>1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1</v>
      </c>
      <c r="Q371" s="2" t="n">
        <v>1</v>
      </c>
      <c r="R371" s="2" t="n">
        <v>0</v>
      </c>
      <c r="S371" s="2" t="n">
        <f aca="false">A372-A371</f>
        <v>0.200000000000017</v>
      </c>
      <c r="T371" s="2" t="n">
        <f aca="false">C371+Summary!$C$8*D371</f>
        <v>0.1116985</v>
      </c>
      <c r="U371" s="2" t="n">
        <f aca="false">B371*T371</f>
        <v>1.319159285</v>
      </c>
      <c r="V371" s="2" t="n">
        <f aca="false">B371*C371</f>
        <v>1.20462</v>
      </c>
    </row>
    <row r="372" customFormat="false" ht="15" hidden="false" customHeight="false" outlineLevel="0" collapsed="false">
      <c r="A372" s="2" t="n">
        <v>248.86</v>
      </c>
      <c r="B372" s="2" t="n">
        <v>11.818</v>
      </c>
      <c r="C372" s="2" t="n">
        <v>0.106</v>
      </c>
      <c r="D372" s="2" t="n">
        <v>0.126</v>
      </c>
      <c r="E372" s="2" t="n">
        <v>0</v>
      </c>
      <c r="F372" s="2" t="n">
        <v>76</v>
      </c>
      <c r="G372" s="2" t="n">
        <v>400</v>
      </c>
      <c r="H372" s="2" t="n">
        <v>400</v>
      </c>
      <c r="I372" s="2" t="n">
        <v>30</v>
      </c>
      <c r="J372" s="2"/>
      <c r="K372" s="2" t="n">
        <v>1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1</v>
      </c>
      <c r="Q372" s="2" t="n">
        <v>1</v>
      </c>
      <c r="R372" s="2" t="n">
        <v>0</v>
      </c>
      <c r="S372" s="2" t="n">
        <f aca="false">A373-A372</f>
        <v>0.199999999999989</v>
      </c>
      <c r="T372" s="2" t="n">
        <f aca="false">C372+Summary!$C$8*D372</f>
        <v>0.116269</v>
      </c>
      <c r="U372" s="2" t="n">
        <f aca="false">B372*T372</f>
        <v>1.374067042</v>
      </c>
      <c r="V372" s="2" t="n">
        <f aca="false">B372*C372</f>
        <v>1.252708</v>
      </c>
    </row>
    <row r="373" customFormat="false" ht="15" hidden="false" customHeight="false" outlineLevel="0" collapsed="false">
      <c r="A373" s="2" t="n">
        <v>249.06</v>
      </c>
      <c r="B373" s="2" t="n">
        <v>11.814</v>
      </c>
      <c r="C373" s="2" t="n">
        <v>0.102</v>
      </c>
      <c r="D373" s="2" t="n">
        <v>0.125</v>
      </c>
      <c r="E373" s="2" t="n">
        <v>0</v>
      </c>
      <c r="F373" s="2" t="n">
        <v>76</v>
      </c>
      <c r="G373" s="2" t="n">
        <v>400</v>
      </c>
      <c r="H373" s="2" t="n">
        <v>400</v>
      </c>
      <c r="I373" s="2" t="n">
        <v>29</v>
      </c>
      <c r="J373" s="2"/>
      <c r="K373" s="2" t="n">
        <v>1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1</v>
      </c>
      <c r="Q373" s="2" t="n">
        <v>1</v>
      </c>
      <c r="R373" s="2" t="n">
        <v>0</v>
      </c>
      <c r="S373" s="2" t="n">
        <f aca="false">A374-A373</f>
        <v>0.199999999999989</v>
      </c>
      <c r="T373" s="2" t="n">
        <f aca="false">C373+Summary!$C$8*D373</f>
        <v>0.1121875</v>
      </c>
      <c r="U373" s="2" t="n">
        <f aca="false">B373*T373</f>
        <v>1.325383125</v>
      </c>
      <c r="V373" s="2" t="n">
        <f aca="false">B373*C373</f>
        <v>1.205028</v>
      </c>
    </row>
    <row r="374" customFormat="false" ht="15" hidden="false" customHeight="false" outlineLevel="0" collapsed="false">
      <c r="A374" s="2" t="n">
        <v>249.26</v>
      </c>
      <c r="B374" s="2" t="n">
        <v>11.818</v>
      </c>
      <c r="C374" s="2" t="n">
        <v>0.101</v>
      </c>
      <c r="D374" s="2" t="n">
        <v>0.129</v>
      </c>
      <c r="E374" s="2" t="n">
        <v>0</v>
      </c>
      <c r="F374" s="2" t="n">
        <v>76</v>
      </c>
      <c r="G374" s="2" t="n">
        <v>400</v>
      </c>
      <c r="H374" s="2" t="n">
        <v>400</v>
      </c>
      <c r="I374" s="2" t="n">
        <v>30</v>
      </c>
      <c r="J374" s="2"/>
      <c r="K374" s="2" t="n">
        <v>1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1</v>
      </c>
      <c r="Q374" s="2" t="n">
        <v>1</v>
      </c>
      <c r="R374" s="2" t="n">
        <v>0</v>
      </c>
      <c r="S374" s="2" t="n">
        <f aca="false">A375-A374</f>
        <v>0.200000000000017</v>
      </c>
      <c r="T374" s="2" t="n">
        <f aca="false">C374+Summary!$C$8*D374</f>
        <v>0.1115135</v>
      </c>
      <c r="U374" s="2" t="n">
        <f aca="false">B374*T374</f>
        <v>1.317866543</v>
      </c>
      <c r="V374" s="2" t="n">
        <f aca="false">B374*C374</f>
        <v>1.193618</v>
      </c>
    </row>
    <row r="375" customFormat="false" ht="15" hidden="false" customHeight="false" outlineLevel="0" collapsed="false">
      <c r="A375" s="2" t="n">
        <v>249.46</v>
      </c>
      <c r="B375" s="2" t="n">
        <v>11.814</v>
      </c>
      <c r="C375" s="2" t="n">
        <v>0.105</v>
      </c>
      <c r="D375" s="2" t="n">
        <v>0.125</v>
      </c>
      <c r="E375" s="2" t="n">
        <v>0</v>
      </c>
      <c r="F375" s="2" t="n">
        <v>76</v>
      </c>
      <c r="G375" s="2" t="n">
        <v>400</v>
      </c>
      <c r="H375" s="2" t="n">
        <v>400</v>
      </c>
      <c r="I375" s="2" t="n">
        <v>30</v>
      </c>
      <c r="J375" s="2"/>
      <c r="K375" s="2" t="n">
        <v>1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1</v>
      </c>
      <c r="Q375" s="2" t="n">
        <v>1</v>
      </c>
      <c r="R375" s="2" t="n">
        <v>0</v>
      </c>
      <c r="S375" s="2" t="n">
        <f aca="false">A376-A375</f>
        <v>0.199999999999989</v>
      </c>
      <c r="T375" s="2" t="n">
        <f aca="false">C375+Summary!$C$8*D375</f>
        <v>0.1151875</v>
      </c>
      <c r="U375" s="2" t="n">
        <f aca="false">B375*T375</f>
        <v>1.360825125</v>
      </c>
      <c r="V375" s="2" t="n">
        <f aca="false">B375*C375</f>
        <v>1.24047</v>
      </c>
    </row>
    <row r="376" customFormat="false" ht="15" hidden="false" customHeight="false" outlineLevel="0" collapsed="false">
      <c r="A376" s="2" t="n">
        <v>249.66</v>
      </c>
      <c r="B376" s="2" t="n">
        <v>11.809</v>
      </c>
      <c r="C376" s="2" t="n">
        <v>0.14</v>
      </c>
      <c r="D376" s="2" t="n">
        <v>0.128</v>
      </c>
      <c r="E376" s="2" t="n">
        <v>0</v>
      </c>
      <c r="F376" s="2" t="n">
        <v>76</v>
      </c>
      <c r="G376" s="2" t="n">
        <v>400</v>
      </c>
      <c r="H376" s="2" t="n">
        <v>400</v>
      </c>
      <c r="I376" s="2" t="n">
        <v>30</v>
      </c>
      <c r="J376" s="2"/>
      <c r="K376" s="2" t="n">
        <v>1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1</v>
      </c>
      <c r="Q376" s="2" t="n">
        <v>1</v>
      </c>
      <c r="R376" s="2" t="n">
        <v>0</v>
      </c>
      <c r="S376" s="2" t="n">
        <f aca="false">A377-A376</f>
        <v>0.200000000000017</v>
      </c>
      <c r="T376" s="2" t="n">
        <f aca="false">C376+Summary!$C$8*D376</f>
        <v>0.150432</v>
      </c>
      <c r="U376" s="2" t="n">
        <f aca="false">B376*T376</f>
        <v>1.776451488</v>
      </c>
      <c r="V376" s="2" t="n">
        <f aca="false">B376*C376</f>
        <v>1.65326</v>
      </c>
    </row>
    <row r="377" customFormat="false" ht="15" hidden="false" customHeight="false" outlineLevel="0" collapsed="false">
      <c r="A377" s="2" t="n">
        <v>249.86</v>
      </c>
      <c r="B377" s="2" t="n">
        <v>11.814</v>
      </c>
      <c r="C377" s="2" t="n">
        <v>0.101</v>
      </c>
      <c r="D377" s="2" t="n">
        <v>0.126</v>
      </c>
      <c r="E377" s="2" t="n">
        <v>0</v>
      </c>
      <c r="F377" s="2" t="n">
        <v>76</v>
      </c>
      <c r="G377" s="2" t="n">
        <v>400</v>
      </c>
      <c r="H377" s="2" t="n">
        <v>400</v>
      </c>
      <c r="I377" s="2" t="n">
        <v>30</v>
      </c>
      <c r="J377" s="2"/>
      <c r="K377" s="2" t="n">
        <v>1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1</v>
      </c>
      <c r="Q377" s="2" t="n">
        <v>1</v>
      </c>
      <c r="R377" s="2" t="n">
        <v>0</v>
      </c>
      <c r="S377" s="2" t="n">
        <f aca="false">A378-A377</f>
        <v>0.199999999999989</v>
      </c>
      <c r="T377" s="2" t="n">
        <f aca="false">C377+Summary!$C$8*D377</f>
        <v>0.111269</v>
      </c>
      <c r="U377" s="2" t="n">
        <f aca="false">B377*T377</f>
        <v>1.314531966</v>
      </c>
      <c r="V377" s="2" t="n">
        <f aca="false">B377*C377</f>
        <v>1.193214</v>
      </c>
    </row>
    <row r="378" customFormat="false" ht="15" hidden="false" customHeight="false" outlineLevel="0" collapsed="false">
      <c r="A378" s="2" t="n">
        <v>250.06</v>
      </c>
      <c r="B378" s="2" t="n">
        <v>11.814</v>
      </c>
      <c r="C378" s="2" t="n">
        <v>0.103</v>
      </c>
      <c r="D378" s="2" t="n">
        <v>0.121</v>
      </c>
      <c r="E378" s="2" t="n">
        <v>0</v>
      </c>
      <c r="F378" s="2" t="n">
        <v>76</v>
      </c>
      <c r="G378" s="2" t="n">
        <v>400</v>
      </c>
      <c r="H378" s="2" t="n">
        <v>400</v>
      </c>
      <c r="I378" s="2" t="n">
        <v>30</v>
      </c>
      <c r="J378" s="2"/>
      <c r="K378" s="2" t="n">
        <v>1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1</v>
      </c>
      <c r="Q378" s="2" t="n">
        <v>1</v>
      </c>
      <c r="R378" s="2" t="n">
        <v>0</v>
      </c>
      <c r="S378" s="2" t="n">
        <f aca="false">A379-A378</f>
        <v>0.199999999999989</v>
      </c>
      <c r="T378" s="2" t="n">
        <f aca="false">C378+Summary!$C$8*D378</f>
        <v>0.1128615</v>
      </c>
      <c r="U378" s="2" t="n">
        <f aca="false">B378*T378</f>
        <v>1.333345761</v>
      </c>
      <c r="V378" s="2" t="n">
        <f aca="false">B378*C378</f>
        <v>1.216842</v>
      </c>
    </row>
    <row r="379" customFormat="false" ht="15" hidden="false" customHeight="false" outlineLevel="0" collapsed="false">
      <c r="A379" s="2" t="n">
        <v>250.26</v>
      </c>
      <c r="B379" s="2" t="n">
        <v>11.814</v>
      </c>
      <c r="C379" s="2" t="n">
        <v>0.102</v>
      </c>
      <c r="D379" s="2" t="n">
        <v>0.125</v>
      </c>
      <c r="E379" s="2" t="n">
        <v>0</v>
      </c>
      <c r="F379" s="2" t="n">
        <v>76</v>
      </c>
      <c r="G379" s="2" t="n">
        <v>400</v>
      </c>
      <c r="H379" s="2" t="n">
        <v>400</v>
      </c>
      <c r="I379" s="2" t="n">
        <v>30</v>
      </c>
      <c r="J379" s="2"/>
      <c r="K379" s="2" t="n">
        <v>1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1</v>
      </c>
      <c r="Q379" s="2" t="n">
        <v>1</v>
      </c>
      <c r="R379" s="2" t="n">
        <v>0</v>
      </c>
      <c r="S379" s="2" t="n">
        <f aca="false">A380-A379</f>
        <v>0.200000000000017</v>
      </c>
      <c r="T379" s="2" t="n">
        <f aca="false">C379+Summary!$C$8*D379</f>
        <v>0.1121875</v>
      </c>
      <c r="U379" s="2" t="n">
        <f aca="false">B379*T379</f>
        <v>1.325383125</v>
      </c>
      <c r="V379" s="2" t="n">
        <f aca="false">B379*C379</f>
        <v>1.205028</v>
      </c>
    </row>
    <row r="380" customFormat="false" ht="15" hidden="false" customHeight="false" outlineLevel="0" collapsed="false">
      <c r="A380" s="2" t="n">
        <v>250.46</v>
      </c>
      <c r="B380" s="2" t="n">
        <v>11.814</v>
      </c>
      <c r="C380" s="2" t="n">
        <v>0.102</v>
      </c>
      <c r="D380" s="2" t="n">
        <v>0.124</v>
      </c>
      <c r="E380" s="2" t="n">
        <v>0</v>
      </c>
      <c r="F380" s="2" t="n">
        <v>76</v>
      </c>
      <c r="G380" s="2" t="n">
        <v>400</v>
      </c>
      <c r="H380" s="2" t="n">
        <v>400</v>
      </c>
      <c r="I380" s="2" t="n">
        <v>30</v>
      </c>
      <c r="J380" s="2"/>
      <c r="K380" s="2" t="n">
        <v>1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1</v>
      </c>
      <c r="Q380" s="2" t="n">
        <v>1</v>
      </c>
      <c r="R380" s="2" t="n">
        <v>0</v>
      </c>
      <c r="S380" s="2" t="n">
        <f aca="false">A381-A380</f>
        <v>0.199999999999989</v>
      </c>
      <c r="T380" s="2" t="n">
        <f aca="false">C380+Summary!$C$8*D380</f>
        <v>0.112106</v>
      </c>
      <c r="U380" s="2" t="n">
        <f aca="false">B380*T380</f>
        <v>1.324420284</v>
      </c>
      <c r="V380" s="2" t="n">
        <f aca="false">B380*C380</f>
        <v>1.205028</v>
      </c>
    </row>
    <row r="381" customFormat="false" ht="15" hidden="false" customHeight="false" outlineLevel="0" collapsed="false">
      <c r="A381" s="2" t="n">
        <v>250.66</v>
      </c>
      <c r="B381" s="2" t="n">
        <v>11.81</v>
      </c>
      <c r="C381" s="2" t="n">
        <v>0.103</v>
      </c>
      <c r="D381" s="2" t="n">
        <v>0.124</v>
      </c>
      <c r="E381" s="2" t="n">
        <v>0</v>
      </c>
      <c r="F381" s="2" t="n">
        <v>76</v>
      </c>
      <c r="G381" s="2" t="n">
        <v>400</v>
      </c>
      <c r="H381" s="2" t="n">
        <v>400</v>
      </c>
      <c r="I381" s="2" t="n">
        <v>30</v>
      </c>
      <c r="J381" s="2"/>
      <c r="K381" s="2" t="n">
        <v>1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</v>
      </c>
      <c r="Q381" s="2" t="n">
        <v>1</v>
      </c>
      <c r="R381" s="2" t="n">
        <v>0</v>
      </c>
      <c r="S381" s="2" t="n">
        <f aca="false">A382-A381</f>
        <v>0.200000000000017</v>
      </c>
      <c r="T381" s="2" t="n">
        <f aca="false">C381+Summary!$C$8*D381</f>
        <v>0.113106</v>
      </c>
      <c r="U381" s="2" t="n">
        <f aca="false">B381*T381</f>
        <v>1.33578186</v>
      </c>
      <c r="V381" s="2" t="n">
        <f aca="false">B381*C381</f>
        <v>1.21643</v>
      </c>
    </row>
    <row r="382" customFormat="false" ht="15" hidden="false" customHeight="false" outlineLevel="0" collapsed="false">
      <c r="A382" s="2" t="n">
        <v>250.86</v>
      </c>
      <c r="B382" s="2" t="n">
        <v>11.81</v>
      </c>
      <c r="C382" s="2" t="n">
        <v>0.102</v>
      </c>
      <c r="D382" s="2" t="n">
        <v>0.122</v>
      </c>
      <c r="E382" s="2" t="n">
        <v>0</v>
      </c>
      <c r="F382" s="2" t="n">
        <v>76</v>
      </c>
      <c r="G382" s="2" t="n">
        <v>400</v>
      </c>
      <c r="H382" s="2" t="n">
        <v>400</v>
      </c>
      <c r="I382" s="2" t="n">
        <v>30</v>
      </c>
      <c r="J382" s="2"/>
      <c r="K382" s="2" t="n">
        <v>1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1</v>
      </c>
      <c r="Q382" s="2" t="n">
        <v>1</v>
      </c>
      <c r="R382" s="2" t="n">
        <v>0</v>
      </c>
      <c r="S382" s="2" t="n">
        <f aca="false">A383-A382</f>
        <v>0.199999999999989</v>
      </c>
      <c r="T382" s="2" t="n">
        <f aca="false">C382+Summary!$C$8*D382</f>
        <v>0.111943</v>
      </c>
      <c r="U382" s="2" t="n">
        <f aca="false">B382*T382</f>
        <v>1.32204683</v>
      </c>
      <c r="V382" s="2" t="n">
        <f aca="false">B382*C382</f>
        <v>1.20462</v>
      </c>
    </row>
    <row r="383" customFormat="false" ht="15" hidden="false" customHeight="false" outlineLevel="0" collapsed="false">
      <c r="A383" s="2" t="n">
        <v>251.06</v>
      </c>
      <c r="B383" s="2" t="n">
        <v>11.809</v>
      </c>
      <c r="C383" s="2" t="n">
        <v>0.103</v>
      </c>
      <c r="D383" s="2" t="n">
        <v>0.122</v>
      </c>
      <c r="E383" s="2" t="n">
        <v>0</v>
      </c>
      <c r="F383" s="2" t="n">
        <v>76</v>
      </c>
      <c r="G383" s="2" t="n">
        <v>400</v>
      </c>
      <c r="H383" s="2" t="n">
        <v>400</v>
      </c>
      <c r="I383" s="2" t="n">
        <v>30</v>
      </c>
      <c r="J383" s="2"/>
      <c r="K383" s="2" t="n">
        <v>1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1</v>
      </c>
      <c r="Q383" s="2" t="n">
        <v>1</v>
      </c>
      <c r="R383" s="2" t="n">
        <v>0</v>
      </c>
      <c r="S383" s="2" t="n">
        <f aca="false">A384-A383</f>
        <v>0.199999999999989</v>
      </c>
      <c r="T383" s="2" t="n">
        <f aca="false">C383+Summary!$C$8*D383</f>
        <v>0.112943</v>
      </c>
      <c r="U383" s="2" t="n">
        <f aca="false">B383*T383</f>
        <v>1.333743887</v>
      </c>
      <c r="V383" s="2" t="n">
        <f aca="false">B383*C383</f>
        <v>1.216327</v>
      </c>
    </row>
    <row r="384" customFormat="false" ht="15" hidden="false" customHeight="false" outlineLevel="0" collapsed="false">
      <c r="A384" s="2" t="n">
        <v>251.26</v>
      </c>
      <c r="B384" s="2" t="n">
        <v>11.81</v>
      </c>
      <c r="C384" s="2" t="n">
        <v>0.102</v>
      </c>
      <c r="D384" s="2" t="n">
        <v>0.122</v>
      </c>
      <c r="E384" s="2" t="n">
        <v>0</v>
      </c>
      <c r="F384" s="2" t="n">
        <v>76</v>
      </c>
      <c r="G384" s="2" t="n">
        <v>400</v>
      </c>
      <c r="H384" s="2" t="n">
        <v>400</v>
      </c>
      <c r="I384" s="2" t="n">
        <v>30</v>
      </c>
      <c r="J384" s="2"/>
      <c r="K384" s="2" t="n">
        <v>1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1</v>
      </c>
      <c r="Q384" s="2" t="n">
        <v>1</v>
      </c>
      <c r="R384" s="2" t="n">
        <v>0</v>
      </c>
      <c r="S384" s="2" t="n">
        <f aca="false">A385-A384</f>
        <v>0.200000000000017</v>
      </c>
      <c r="T384" s="2" t="n">
        <f aca="false">C384+Summary!$C$8*D384</f>
        <v>0.111943</v>
      </c>
      <c r="U384" s="2" t="n">
        <f aca="false">B384*T384</f>
        <v>1.32204683</v>
      </c>
      <c r="V384" s="2" t="n">
        <f aca="false">B384*C384</f>
        <v>1.20462</v>
      </c>
    </row>
    <row r="385" customFormat="false" ht="15" hidden="false" customHeight="false" outlineLevel="0" collapsed="false">
      <c r="A385" s="2" t="n">
        <v>251.46</v>
      </c>
      <c r="B385" s="2" t="n">
        <v>11.814</v>
      </c>
      <c r="C385" s="2" t="n">
        <v>0.102</v>
      </c>
      <c r="D385" s="2" t="n">
        <v>0.118</v>
      </c>
      <c r="E385" s="2" t="n">
        <v>0</v>
      </c>
      <c r="F385" s="2" t="n">
        <v>76</v>
      </c>
      <c r="G385" s="2" t="n">
        <v>400</v>
      </c>
      <c r="H385" s="2" t="n">
        <v>400</v>
      </c>
      <c r="I385" s="2" t="n">
        <v>30</v>
      </c>
      <c r="J385" s="2"/>
      <c r="K385" s="2" t="n">
        <v>1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1</v>
      </c>
      <c r="Q385" s="2" t="n">
        <v>1</v>
      </c>
      <c r="R385" s="2" t="n">
        <v>0</v>
      </c>
      <c r="S385" s="2" t="n">
        <f aca="false">A386-A385</f>
        <v>0.199999999999989</v>
      </c>
      <c r="T385" s="2" t="n">
        <f aca="false">C385+Summary!$C$8*D385</f>
        <v>0.111617</v>
      </c>
      <c r="U385" s="2" t="n">
        <f aca="false">B385*T385</f>
        <v>1.318643238</v>
      </c>
      <c r="V385" s="2" t="n">
        <f aca="false">B385*C385</f>
        <v>1.205028</v>
      </c>
    </row>
    <row r="386" customFormat="false" ht="15" hidden="false" customHeight="false" outlineLevel="0" collapsed="false">
      <c r="A386" s="2" t="n">
        <v>251.66</v>
      </c>
      <c r="B386" s="2" t="n">
        <v>11.814</v>
      </c>
      <c r="C386" s="2" t="n">
        <v>0.102</v>
      </c>
      <c r="D386" s="2" t="n">
        <v>0.121</v>
      </c>
      <c r="E386" s="2" t="n">
        <v>0</v>
      </c>
      <c r="F386" s="2" t="n">
        <v>76</v>
      </c>
      <c r="G386" s="2" t="n">
        <v>400</v>
      </c>
      <c r="H386" s="2" t="n">
        <v>400</v>
      </c>
      <c r="I386" s="2" t="n">
        <v>30</v>
      </c>
      <c r="J386" s="2"/>
      <c r="K386" s="2" t="n">
        <v>1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1</v>
      </c>
      <c r="Q386" s="2" t="n">
        <v>1</v>
      </c>
      <c r="R386" s="2" t="n">
        <v>0</v>
      </c>
      <c r="S386" s="2" t="n">
        <f aca="false">A387-A386</f>
        <v>0.200000000000017</v>
      </c>
      <c r="T386" s="2" t="n">
        <f aca="false">C386+Summary!$C$8*D386</f>
        <v>0.1118615</v>
      </c>
      <c r="U386" s="2" t="n">
        <f aca="false">B386*T386</f>
        <v>1.321531761</v>
      </c>
      <c r="V386" s="2" t="n">
        <f aca="false">B386*C386</f>
        <v>1.205028</v>
      </c>
    </row>
    <row r="387" customFormat="false" ht="15" hidden="false" customHeight="false" outlineLevel="0" collapsed="false">
      <c r="A387" s="2" t="n">
        <v>251.86</v>
      </c>
      <c r="B387" s="2" t="n">
        <v>11.814</v>
      </c>
      <c r="C387" s="2" t="n">
        <v>0.102</v>
      </c>
      <c r="D387" s="2" t="n">
        <v>0.117</v>
      </c>
      <c r="E387" s="2" t="n">
        <v>0</v>
      </c>
      <c r="F387" s="2" t="n">
        <v>76</v>
      </c>
      <c r="G387" s="2" t="n">
        <v>400</v>
      </c>
      <c r="H387" s="2" t="n">
        <v>400</v>
      </c>
      <c r="I387" s="2" t="n">
        <v>30</v>
      </c>
      <c r="J387" s="2"/>
      <c r="K387" s="2" t="n">
        <v>0</v>
      </c>
      <c r="L387" s="2" t="n">
        <v>0</v>
      </c>
      <c r="M387" s="2" t="n">
        <v>1</v>
      </c>
      <c r="N387" s="2" t="n">
        <v>0</v>
      </c>
      <c r="O387" s="2" t="n">
        <v>0</v>
      </c>
      <c r="P387" s="2" t="n">
        <v>1</v>
      </c>
      <c r="Q387" s="2" t="n">
        <v>1</v>
      </c>
      <c r="R387" s="2" t="n">
        <v>0</v>
      </c>
      <c r="S387" s="2" t="n">
        <f aca="false">A388-A387</f>
        <v>0.199999999999989</v>
      </c>
      <c r="T387" s="2" t="n">
        <f aca="false">C387+Summary!$C$8*D387</f>
        <v>0.1115355</v>
      </c>
      <c r="U387" s="2" t="n">
        <f aca="false">B387*T387</f>
        <v>1.317680397</v>
      </c>
      <c r="V387" s="2" t="n">
        <f aca="false">B387*C387</f>
        <v>1.205028</v>
      </c>
    </row>
    <row r="388" customFormat="false" ht="15" hidden="false" customHeight="false" outlineLevel="0" collapsed="false">
      <c r="A388" s="2" t="n">
        <v>252.06</v>
      </c>
      <c r="B388" s="2" t="n">
        <v>11.814</v>
      </c>
      <c r="C388" s="2" t="n">
        <v>0.102</v>
      </c>
      <c r="D388" s="2" t="n">
        <v>0.116</v>
      </c>
      <c r="E388" s="2" t="n">
        <v>0</v>
      </c>
      <c r="F388" s="2" t="n">
        <v>76</v>
      </c>
      <c r="G388" s="2" t="n">
        <v>400</v>
      </c>
      <c r="H388" s="2" t="n">
        <v>400</v>
      </c>
      <c r="I388" s="2" t="n">
        <v>30</v>
      </c>
      <c r="J388" s="2"/>
      <c r="K388" s="2" t="n">
        <v>0</v>
      </c>
      <c r="L388" s="2" t="n">
        <v>0</v>
      </c>
      <c r="M388" s="2" t="n">
        <v>1</v>
      </c>
      <c r="N388" s="2" t="n">
        <v>0</v>
      </c>
      <c r="O388" s="2" t="n">
        <v>0</v>
      </c>
      <c r="P388" s="2" t="n">
        <v>1</v>
      </c>
      <c r="Q388" s="2" t="n">
        <v>1</v>
      </c>
      <c r="R388" s="2" t="n">
        <v>0</v>
      </c>
      <c r="S388" s="2" t="n">
        <f aca="false">A389-A388</f>
        <v>0.199999999999989</v>
      </c>
      <c r="T388" s="2" t="n">
        <f aca="false">C388+Summary!$C$8*D388</f>
        <v>0.111454</v>
      </c>
      <c r="U388" s="2" t="n">
        <f aca="false">B388*T388</f>
        <v>1.316717556</v>
      </c>
      <c r="V388" s="2" t="n">
        <f aca="false">B388*C388</f>
        <v>1.205028</v>
      </c>
    </row>
    <row r="389" customFormat="false" ht="15" hidden="false" customHeight="false" outlineLevel="0" collapsed="false">
      <c r="A389" s="2" t="n">
        <v>252.26</v>
      </c>
      <c r="B389" s="2" t="n">
        <v>11.814</v>
      </c>
      <c r="C389" s="2" t="n">
        <v>0.102</v>
      </c>
      <c r="D389" s="2" t="n">
        <v>0.119</v>
      </c>
      <c r="E389" s="2" t="n">
        <v>0</v>
      </c>
      <c r="F389" s="2" t="n">
        <v>76</v>
      </c>
      <c r="G389" s="2" t="n">
        <v>400</v>
      </c>
      <c r="H389" s="2" t="n">
        <v>400</v>
      </c>
      <c r="I389" s="2" t="n">
        <v>30</v>
      </c>
      <c r="J389" s="2"/>
      <c r="K389" s="2" t="n">
        <v>0</v>
      </c>
      <c r="L389" s="2" t="n">
        <v>0</v>
      </c>
      <c r="M389" s="2" t="n">
        <v>1</v>
      </c>
      <c r="N389" s="2" t="n">
        <v>0</v>
      </c>
      <c r="O389" s="2" t="n">
        <v>0</v>
      </c>
      <c r="P389" s="2" t="n">
        <v>1</v>
      </c>
      <c r="Q389" s="2" t="n">
        <v>1</v>
      </c>
      <c r="R389" s="2" t="n">
        <v>0</v>
      </c>
      <c r="S389" s="2" t="n">
        <f aca="false">A390-A389</f>
        <v>0.200000000000017</v>
      </c>
      <c r="T389" s="2" t="n">
        <f aca="false">C389+Summary!$C$8*D389</f>
        <v>0.1116985</v>
      </c>
      <c r="U389" s="2" t="n">
        <f aca="false">B389*T389</f>
        <v>1.319606079</v>
      </c>
      <c r="V389" s="2" t="n">
        <f aca="false">B389*C389</f>
        <v>1.205028</v>
      </c>
    </row>
    <row r="390" customFormat="false" ht="15" hidden="false" customHeight="false" outlineLevel="0" collapsed="false">
      <c r="A390" s="2" t="n">
        <v>252.46</v>
      </c>
      <c r="B390" s="2" t="n">
        <v>11.81</v>
      </c>
      <c r="C390" s="2" t="n">
        <v>0.102</v>
      </c>
      <c r="D390" s="2" t="n">
        <v>0.119</v>
      </c>
      <c r="E390" s="2" t="n">
        <v>0</v>
      </c>
      <c r="F390" s="2" t="n">
        <v>76</v>
      </c>
      <c r="G390" s="2" t="n">
        <v>400</v>
      </c>
      <c r="H390" s="2" t="n">
        <v>400</v>
      </c>
      <c r="I390" s="2" t="n">
        <v>30</v>
      </c>
      <c r="J390" s="2"/>
      <c r="K390" s="2" t="n">
        <v>0</v>
      </c>
      <c r="L390" s="2" t="n">
        <v>0</v>
      </c>
      <c r="M390" s="2" t="n">
        <v>1</v>
      </c>
      <c r="N390" s="2" t="n">
        <v>0</v>
      </c>
      <c r="O390" s="2" t="n">
        <v>0</v>
      </c>
      <c r="P390" s="2" t="n">
        <v>1</v>
      </c>
      <c r="Q390" s="2" t="n">
        <v>1</v>
      </c>
      <c r="R390" s="2" t="n">
        <v>0</v>
      </c>
      <c r="S390" s="2" t="n">
        <f aca="false">A391-A390</f>
        <v>0.199999999999989</v>
      </c>
      <c r="T390" s="2" t="n">
        <f aca="false">C390+Summary!$C$8*D390</f>
        <v>0.1116985</v>
      </c>
      <c r="U390" s="2" t="n">
        <f aca="false">B390*T390</f>
        <v>1.319159285</v>
      </c>
      <c r="V390" s="2" t="n">
        <f aca="false">B390*C390</f>
        <v>1.20462</v>
      </c>
    </row>
    <row r="391" customFormat="false" ht="15" hidden="false" customHeight="false" outlineLevel="0" collapsed="false">
      <c r="A391" s="2" t="n">
        <v>252.66</v>
      </c>
      <c r="B391" s="2" t="n">
        <v>11.81</v>
      </c>
      <c r="C391" s="2" t="n">
        <v>0.102</v>
      </c>
      <c r="D391" s="2" t="n">
        <v>0.122</v>
      </c>
      <c r="E391" s="2" t="n">
        <v>0</v>
      </c>
      <c r="F391" s="2" t="n">
        <v>76</v>
      </c>
      <c r="G391" s="2" t="n">
        <v>400</v>
      </c>
      <c r="H391" s="2" t="n">
        <v>400</v>
      </c>
      <c r="I391" s="2" t="n">
        <v>30</v>
      </c>
      <c r="J391" s="2"/>
      <c r="K391" s="2" t="n">
        <v>0</v>
      </c>
      <c r="L391" s="2" t="n">
        <v>0</v>
      </c>
      <c r="M391" s="2" t="n">
        <v>1</v>
      </c>
      <c r="N391" s="2" t="n">
        <v>0</v>
      </c>
      <c r="O391" s="2" t="n">
        <v>0</v>
      </c>
      <c r="P391" s="2" t="n">
        <v>1</v>
      </c>
      <c r="Q391" s="2" t="n">
        <v>1</v>
      </c>
      <c r="R391" s="2" t="n">
        <v>0</v>
      </c>
      <c r="S391" s="2" t="n">
        <f aca="false">A392-A391</f>
        <v>0.200000000000017</v>
      </c>
      <c r="T391" s="2" t="n">
        <f aca="false">C391+Summary!$C$8*D391</f>
        <v>0.111943</v>
      </c>
      <c r="U391" s="2" t="n">
        <f aca="false">B391*T391</f>
        <v>1.32204683</v>
      </c>
      <c r="V391" s="2" t="n">
        <f aca="false">B391*C391</f>
        <v>1.20462</v>
      </c>
    </row>
    <row r="392" customFormat="false" ht="15" hidden="false" customHeight="false" outlineLevel="0" collapsed="false">
      <c r="A392" s="2" t="n">
        <v>252.86</v>
      </c>
      <c r="B392" s="2" t="n">
        <v>11.81</v>
      </c>
      <c r="C392" s="2" t="n">
        <v>0.102</v>
      </c>
      <c r="D392" s="2" t="n">
        <v>0.119</v>
      </c>
      <c r="E392" s="2" t="n">
        <v>0</v>
      </c>
      <c r="F392" s="2" t="n">
        <v>76</v>
      </c>
      <c r="G392" s="2" t="n">
        <v>400</v>
      </c>
      <c r="H392" s="2" t="n">
        <v>400</v>
      </c>
      <c r="I392" s="2" t="n">
        <v>30</v>
      </c>
      <c r="J392" s="2"/>
      <c r="K392" s="2" t="n">
        <v>0</v>
      </c>
      <c r="L392" s="2" t="n">
        <v>0</v>
      </c>
      <c r="M392" s="2" t="n">
        <v>1</v>
      </c>
      <c r="N392" s="2" t="n">
        <v>0</v>
      </c>
      <c r="O392" s="2" t="n">
        <v>0</v>
      </c>
      <c r="P392" s="2" t="n">
        <v>1</v>
      </c>
      <c r="Q392" s="2" t="n">
        <v>1</v>
      </c>
      <c r="R392" s="2" t="n">
        <v>0</v>
      </c>
      <c r="S392" s="2" t="n">
        <f aca="false">A393-A392</f>
        <v>0.199999999999989</v>
      </c>
      <c r="T392" s="2" t="n">
        <f aca="false">C392+Summary!$C$8*D392</f>
        <v>0.1116985</v>
      </c>
      <c r="U392" s="2" t="n">
        <f aca="false">B392*T392</f>
        <v>1.319159285</v>
      </c>
      <c r="V392" s="2" t="n">
        <f aca="false">B392*C392</f>
        <v>1.20462</v>
      </c>
    </row>
    <row r="393" customFormat="false" ht="15" hidden="false" customHeight="false" outlineLevel="0" collapsed="false">
      <c r="A393" s="2" t="n">
        <v>253.06</v>
      </c>
      <c r="B393" s="2" t="n">
        <v>11.81</v>
      </c>
      <c r="C393" s="2" t="n">
        <v>0.102</v>
      </c>
      <c r="D393" s="2" t="n">
        <v>0.125</v>
      </c>
      <c r="E393" s="2" t="n">
        <v>0</v>
      </c>
      <c r="F393" s="2" t="n">
        <v>76</v>
      </c>
      <c r="G393" s="2" t="n">
        <v>400</v>
      </c>
      <c r="H393" s="2" t="n">
        <v>400</v>
      </c>
      <c r="I393" s="2" t="n">
        <v>30</v>
      </c>
      <c r="J393" s="2"/>
      <c r="K393" s="2" t="n">
        <v>0</v>
      </c>
      <c r="L393" s="2" t="n">
        <v>0</v>
      </c>
      <c r="M393" s="2" t="n">
        <v>1</v>
      </c>
      <c r="N393" s="2" t="n">
        <v>0</v>
      </c>
      <c r="O393" s="2" t="n">
        <v>0</v>
      </c>
      <c r="P393" s="2" t="n">
        <v>1</v>
      </c>
      <c r="Q393" s="2" t="n">
        <v>1</v>
      </c>
      <c r="R393" s="2" t="n">
        <v>0</v>
      </c>
      <c r="S393" s="2" t="n">
        <f aca="false">A394-A393</f>
        <v>0.199999999999989</v>
      </c>
      <c r="T393" s="2" t="n">
        <f aca="false">C393+Summary!$C$8*D393</f>
        <v>0.1121875</v>
      </c>
      <c r="U393" s="2" t="n">
        <f aca="false">B393*T393</f>
        <v>1.324934375</v>
      </c>
      <c r="V393" s="2" t="n">
        <f aca="false">B393*C393</f>
        <v>1.20462</v>
      </c>
    </row>
    <row r="394" customFormat="false" ht="15" hidden="false" customHeight="false" outlineLevel="0" collapsed="false">
      <c r="A394" s="2" t="n">
        <v>253.26</v>
      </c>
      <c r="B394" s="2" t="n">
        <v>11.814</v>
      </c>
      <c r="C394" s="2" t="n">
        <v>0.102</v>
      </c>
      <c r="D394" s="2" t="n">
        <v>0.118</v>
      </c>
      <c r="E394" s="2" t="n">
        <v>0</v>
      </c>
      <c r="F394" s="2" t="n">
        <v>76</v>
      </c>
      <c r="G394" s="2" t="n">
        <v>400</v>
      </c>
      <c r="H394" s="2" t="n">
        <v>400</v>
      </c>
      <c r="I394" s="2" t="n">
        <v>30</v>
      </c>
      <c r="J394" s="2"/>
      <c r="K394" s="2" t="n">
        <v>0</v>
      </c>
      <c r="L394" s="2" t="n">
        <v>0</v>
      </c>
      <c r="M394" s="2" t="n">
        <v>1</v>
      </c>
      <c r="N394" s="2" t="n">
        <v>0</v>
      </c>
      <c r="O394" s="2" t="n">
        <v>0</v>
      </c>
      <c r="P394" s="2" t="n">
        <v>1</v>
      </c>
      <c r="Q394" s="2" t="n">
        <v>1</v>
      </c>
      <c r="R394" s="2" t="n">
        <v>0</v>
      </c>
      <c r="S394" s="2" t="n">
        <f aca="false">A395-A394</f>
        <v>0.200000000000017</v>
      </c>
      <c r="T394" s="2" t="n">
        <f aca="false">C394+Summary!$C$8*D394</f>
        <v>0.111617</v>
      </c>
      <c r="U394" s="2" t="n">
        <f aca="false">B394*T394</f>
        <v>1.318643238</v>
      </c>
      <c r="V394" s="2" t="n">
        <f aca="false">B394*C394</f>
        <v>1.205028</v>
      </c>
    </row>
    <row r="395" customFormat="false" ht="15" hidden="false" customHeight="false" outlineLevel="0" collapsed="false">
      <c r="A395" s="2" t="n">
        <v>253.46</v>
      </c>
      <c r="B395" s="2" t="n">
        <v>11.81</v>
      </c>
      <c r="C395" s="2" t="n">
        <v>0.102</v>
      </c>
      <c r="D395" s="2" t="n">
        <v>0.121</v>
      </c>
      <c r="E395" s="2" t="n">
        <v>0</v>
      </c>
      <c r="F395" s="2" t="n">
        <v>76</v>
      </c>
      <c r="G395" s="2" t="n">
        <v>400</v>
      </c>
      <c r="H395" s="2" t="n">
        <v>400</v>
      </c>
      <c r="I395" s="2" t="n">
        <v>30</v>
      </c>
      <c r="J395" s="2"/>
      <c r="K395" s="2" t="n">
        <v>0</v>
      </c>
      <c r="L395" s="2" t="n">
        <v>0</v>
      </c>
      <c r="M395" s="2" t="n">
        <v>1</v>
      </c>
      <c r="N395" s="2" t="n">
        <v>0</v>
      </c>
      <c r="O395" s="2" t="n">
        <v>0</v>
      </c>
      <c r="P395" s="2" t="n">
        <v>1</v>
      </c>
      <c r="Q395" s="2" t="n">
        <v>1</v>
      </c>
      <c r="R395" s="2" t="n">
        <v>0</v>
      </c>
      <c r="S395" s="2" t="n">
        <f aca="false">A396-A395</f>
        <v>0.199999999999989</v>
      </c>
      <c r="T395" s="2" t="n">
        <f aca="false">C395+Summary!$C$8*D395</f>
        <v>0.1118615</v>
      </c>
      <c r="U395" s="2" t="n">
        <f aca="false">B395*T395</f>
        <v>1.321084315</v>
      </c>
      <c r="V395" s="2" t="n">
        <f aca="false">B395*C395</f>
        <v>1.20462</v>
      </c>
    </row>
    <row r="396" customFormat="false" ht="15" hidden="false" customHeight="false" outlineLevel="0" collapsed="false">
      <c r="A396" s="2" t="n">
        <v>253.66</v>
      </c>
      <c r="B396" s="2" t="n">
        <v>11.81</v>
      </c>
      <c r="C396" s="2" t="n">
        <v>0.102</v>
      </c>
      <c r="D396" s="2" t="n">
        <v>0.118</v>
      </c>
      <c r="E396" s="2" t="n">
        <v>0</v>
      </c>
      <c r="F396" s="2" t="n">
        <v>76</v>
      </c>
      <c r="G396" s="2" t="n">
        <v>400</v>
      </c>
      <c r="H396" s="2" t="n">
        <v>400</v>
      </c>
      <c r="I396" s="2" t="n">
        <v>30</v>
      </c>
      <c r="J396" s="2"/>
      <c r="K396" s="2" t="n">
        <v>0</v>
      </c>
      <c r="L396" s="2" t="n">
        <v>0</v>
      </c>
      <c r="M396" s="2" t="n">
        <v>1</v>
      </c>
      <c r="N396" s="2" t="n">
        <v>0</v>
      </c>
      <c r="O396" s="2" t="n">
        <v>0</v>
      </c>
      <c r="P396" s="2" t="n">
        <v>1</v>
      </c>
      <c r="Q396" s="2" t="n">
        <v>1</v>
      </c>
      <c r="R396" s="2" t="n">
        <v>0</v>
      </c>
      <c r="S396" s="2" t="n">
        <f aca="false">A397-A396</f>
        <v>0.200000000000017</v>
      </c>
      <c r="T396" s="2" t="n">
        <f aca="false">C396+Summary!$C$8*D396</f>
        <v>0.111617</v>
      </c>
      <c r="U396" s="2" t="n">
        <f aca="false">B396*T396</f>
        <v>1.31819677</v>
      </c>
      <c r="V396" s="2" t="n">
        <f aca="false">B396*C396</f>
        <v>1.20462</v>
      </c>
    </row>
    <row r="397" customFormat="false" ht="15" hidden="false" customHeight="false" outlineLevel="0" collapsed="false">
      <c r="A397" s="2" t="n">
        <v>253.86</v>
      </c>
      <c r="B397" s="2" t="n">
        <v>11.81</v>
      </c>
      <c r="C397" s="2" t="n">
        <v>0.102</v>
      </c>
      <c r="D397" s="2" t="n">
        <v>0.119</v>
      </c>
      <c r="E397" s="2" t="n">
        <v>0</v>
      </c>
      <c r="F397" s="2" t="n">
        <v>76</v>
      </c>
      <c r="G397" s="2" t="n">
        <v>400</v>
      </c>
      <c r="H397" s="2" t="n">
        <v>400</v>
      </c>
      <c r="I397" s="2" t="n">
        <v>30</v>
      </c>
      <c r="J397" s="2"/>
      <c r="K397" s="2" t="n">
        <v>0</v>
      </c>
      <c r="L397" s="2" t="n">
        <v>0</v>
      </c>
      <c r="M397" s="2" t="n">
        <v>1</v>
      </c>
      <c r="N397" s="2" t="n">
        <v>0</v>
      </c>
      <c r="O397" s="2" t="n">
        <v>0</v>
      </c>
      <c r="P397" s="2" t="n">
        <v>1</v>
      </c>
      <c r="Q397" s="2" t="n">
        <v>1</v>
      </c>
      <c r="R397" s="2" t="n">
        <v>0</v>
      </c>
      <c r="S397" s="2" t="n">
        <f aca="false">A398-A397</f>
        <v>0.199999999999989</v>
      </c>
      <c r="T397" s="2" t="n">
        <f aca="false">C397+Summary!$C$8*D397</f>
        <v>0.1116985</v>
      </c>
      <c r="U397" s="2" t="n">
        <f aca="false">B397*T397</f>
        <v>1.319159285</v>
      </c>
      <c r="V397" s="2" t="n">
        <f aca="false">B397*C397</f>
        <v>1.20462</v>
      </c>
    </row>
    <row r="398" customFormat="false" ht="15" hidden="false" customHeight="false" outlineLevel="0" collapsed="false">
      <c r="A398" s="2" t="n">
        <v>254.06</v>
      </c>
      <c r="B398" s="2" t="n">
        <v>11.81</v>
      </c>
      <c r="C398" s="2" t="n">
        <v>0.139</v>
      </c>
      <c r="D398" s="2" t="n">
        <v>0.114</v>
      </c>
      <c r="E398" s="2" t="n">
        <v>0</v>
      </c>
      <c r="F398" s="2" t="n">
        <v>76</v>
      </c>
      <c r="G398" s="2" t="n">
        <v>400</v>
      </c>
      <c r="H398" s="2" t="n">
        <v>400</v>
      </c>
      <c r="I398" s="2" t="n">
        <v>31</v>
      </c>
      <c r="J398" s="2"/>
      <c r="K398" s="2" t="n">
        <v>0</v>
      </c>
      <c r="L398" s="2" t="n">
        <v>0</v>
      </c>
      <c r="M398" s="2" t="n">
        <v>1</v>
      </c>
      <c r="N398" s="2" t="n">
        <v>0</v>
      </c>
      <c r="O398" s="2" t="n">
        <v>0</v>
      </c>
      <c r="P398" s="2" t="n">
        <v>1</v>
      </c>
      <c r="Q398" s="2" t="n">
        <v>1</v>
      </c>
      <c r="R398" s="2" t="n">
        <v>0</v>
      </c>
      <c r="S398" s="2" t="n">
        <f aca="false">A399-A398</f>
        <v>0.199999999999989</v>
      </c>
      <c r="T398" s="2" t="n">
        <f aca="false">C398+Summary!$C$8*D398</f>
        <v>0.148291</v>
      </c>
      <c r="U398" s="2" t="n">
        <f aca="false">B398*T398</f>
        <v>1.75131671</v>
      </c>
      <c r="V398" s="2" t="n">
        <f aca="false">B398*C398</f>
        <v>1.64159</v>
      </c>
    </row>
    <row r="399" customFormat="false" ht="15" hidden="false" customHeight="false" outlineLevel="0" collapsed="false">
      <c r="A399" s="2" t="n">
        <v>254.26</v>
      </c>
      <c r="B399" s="2" t="n">
        <v>11.814</v>
      </c>
      <c r="C399" s="2" t="n">
        <v>0.102</v>
      </c>
      <c r="D399" s="2" t="n">
        <v>0.119</v>
      </c>
      <c r="E399" s="2" t="n">
        <v>0</v>
      </c>
      <c r="F399" s="2" t="n">
        <v>76</v>
      </c>
      <c r="G399" s="2" t="n">
        <v>400</v>
      </c>
      <c r="H399" s="2" t="n">
        <v>400</v>
      </c>
      <c r="I399" s="2" t="n">
        <v>31</v>
      </c>
      <c r="J399" s="2"/>
      <c r="K399" s="2" t="n">
        <v>0</v>
      </c>
      <c r="L399" s="2" t="n">
        <v>0</v>
      </c>
      <c r="M399" s="2" t="n">
        <v>1</v>
      </c>
      <c r="N399" s="2" t="n">
        <v>0</v>
      </c>
      <c r="O399" s="2" t="n">
        <v>0</v>
      </c>
      <c r="P399" s="2" t="n">
        <v>1</v>
      </c>
      <c r="Q399" s="2" t="n">
        <v>1</v>
      </c>
      <c r="R399" s="2" t="n">
        <v>0</v>
      </c>
      <c r="S399" s="2" t="n">
        <f aca="false">A400-A399</f>
        <v>0.200000000000017</v>
      </c>
      <c r="T399" s="2" t="n">
        <f aca="false">C399+Summary!$C$8*D399</f>
        <v>0.1116985</v>
      </c>
      <c r="U399" s="2" t="n">
        <f aca="false">B399*T399</f>
        <v>1.319606079</v>
      </c>
      <c r="V399" s="2" t="n">
        <f aca="false">B399*C399</f>
        <v>1.205028</v>
      </c>
    </row>
    <row r="400" customFormat="false" ht="15" hidden="false" customHeight="false" outlineLevel="0" collapsed="false">
      <c r="A400" s="2" t="n">
        <v>254.46</v>
      </c>
      <c r="B400" s="2" t="n">
        <v>11.814</v>
      </c>
      <c r="C400" s="2" t="n">
        <v>0.102</v>
      </c>
      <c r="D400" s="2" t="n">
        <v>0.121</v>
      </c>
      <c r="E400" s="2" t="n">
        <v>0</v>
      </c>
      <c r="F400" s="2" t="n">
        <v>76</v>
      </c>
      <c r="G400" s="2" t="n">
        <v>400</v>
      </c>
      <c r="H400" s="2" t="n">
        <v>400</v>
      </c>
      <c r="I400" s="2" t="n">
        <v>30</v>
      </c>
      <c r="J400" s="2"/>
      <c r="K400" s="2" t="n">
        <v>0</v>
      </c>
      <c r="L400" s="2" t="n">
        <v>0</v>
      </c>
      <c r="M400" s="2" t="n">
        <v>1</v>
      </c>
      <c r="N400" s="2" t="n">
        <v>0</v>
      </c>
      <c r="O400" s="2" t="n">
        <v>0</v>
      </c>
      <c r="P400" s="2" t="n">
        <v>1</v>
      </c>
      <c r="Q400" s="2" t="n">
        <v>1</v>
      </c>
      <c r="R400" s="2" t="n">
        <v>0</v>
      </c>
      <c r="S400" s="2" t="n">
        <f aca="false">A401-A400</f>
        <v>0.199999999999989</v>
      </c>
      <c r="T400" s="2" t="n">
        <f aca="false">C400+Summary!$C$8*D400</f>
        <v>0.1118615</v>
      </c>
      <c r="U400" s="2" t="n">
        <f aca="false">B400*T400</f>
        <v>1.321531761</v>
      </c>
      <c r="V400" s="2" t="n">
        <f aca="false">B400*C400</f>
        <v>1.205028</v>
      </c>
    </row>
    <row r="401" customFormat="false" ht="15" hidden="false" customHeight="false" outlineLevel="0" collapsed="false">
      <c r="A401" s="2" t="n">
        <v>254.66</v>
      </c>
      <c r="B401" s="2" t="n">
        <v>11.814</v>
      </c>
      <c r="C401" s="2" t="n">
        <v>0.101</v>
      </c>
      <c r="D401" s="2" t="n">
        <v>0.121</v>
      </c>
      <c r="E401" s="2" t="n">
        <v>0</v>
      </c>
      <c r="F401" s="2" t="n">
        <v>76</v>
      </c>
      <c r="G401" s="2" t="n">
        <v>400</v>
      </c>
      <c r="H401" s="2" t="n">
        <v>400</v>
      </c>
      <c r="I401" s="2" t="n">
        <v>29</v>
      </c>
      <c r="J401" s="2"/>
      <c r="K401" s="2" t="n">
        <v>0</v>
      </c>
      <c r="L401" s="2" t="n">
        <v>0</v>
      </c>
      <c r="M401" s="2" t="n">
        <v>1</v>
      </c>
      <c r="N401" s="2" t="n">
        <v>0</v>
      </c>
      <c r="O401" s="2" t="n">
        <v>0</v>
      </c>
      <c r="P401" s="2" t="n">
        <v>1</v>
      </c>
      <c r="Q401" s="2" t="n">
        <v>1</v>
      </c>
      <c r="R401" s="2" t="n">
        <v>0</v>
      </c>
      <c r="S401" s="2" t="n">
        <f aca="false">A402-A401</f>
        <v>0.200000000000017</v>
      </c>
      <c r="T401" s="2" t="n">
        <f aca="false">C401+Summary!$C$8*D401</f>
        <v>0.1108615</v>
      </c>
      <c r="U401" s="2" t="n">
        <f aca="false">B401*T401</f>
        <v>1.309717761</v>
      </c>
      <c r="V401" s="2" t="n">
        <f aca="false">B401*C401</f>
        <v>1.193214</v>
      </c>
    </row>
    <row r="402" customFormat="false" ht="15" hidden="false" customHeight="false" outlineLevel="0" collapsed="false">
      <c r="A402" s="2" t="n">
        <v>254.86</v>
      </c>
      <c r="B402" s="2" t="n">
        <v>11.81</v>
      </c>
      <c r="C402" s="2" t="n">
        <v>0.102</v>
      </c>
      <c r="D402" s="2" t="n">
        <v>0.122</v>
      </c>
      <c r="E402" s="2" t="n">
        <v>0</v>
      </c>
      <c r="F402" s="2" t="n">
        <v>76</v>
      </c>
      <c r="G402" s="2" t="n">
        <v>400</v>
      </c>
      <c r="H402" s="2" t="n">
        <v>400</v>
      </c>
      <c r="I402" s="2" t="n">
        <v>30</v>
      </c>
      <c r="J402" s="2"/>
      <c r="K402" s="2" t="n">
        <v>0</v>
      </c>
      <c r="L402" s="2" t="n">
        <v>0</v>
      </c>
      <c r="M402" s="2" t="n">
        <v>1</v>
      </c>
      <c r="N402" s="2" t="n">
        <v>0</v>
      </c>
      <c r="O402" s="2" t="n">
        <v>0</v>
      </c>
      <c r="P402" s="2" t="n">
        <v>1</v>
      </c>
      <c r="Q402" s="2" t="n">
        <v>1</v>
      </c>
      <c r="R402" s="2" t="n">
        <v>0</v>
      </c>
      <c r="S402" s="2" t="n">
        <f aca="false">A403-A402</f>
        <v>0.199999999999989</v>
      </c>
      <c r="T402" s="2" t="n">
        <f aca="false">C402+Summary!$C$8*D402</f>
        <v>0.111943</v>
      </c>
      <c r="U402" s="2" t="n">
        <f aca="false">B402*T402</f>
        <v>1.32204683</v>
      </c>
      <c r="V402" s="2" t="n">
        <f aca="false">B402*C402</f>
        <v>1.20462</v>
      </c>
    </row>
    <row r="403" customFormat="false" ht="15" hidden="false" customHeight="false" outlineLevel="0" collapsed="false">
      <c r="A403" s="2" t="n">
        <v>255.06</v>
      </c>
      <c r="B403" s="2" t="n">
        <v>11.814</v>
      </c>
      <c r="C403" s="2" t="n">
        <v>0.102</v>
      </c>
      <c r="D403" s="2" t="n">
        <v>0.119</v>
      </c>
      <c r="E403" s="2" t="n">
        <v>0</v>
      </c>
      <c r="F403" s="2" t="n">
        <v>76</v>
      </c>
      <c r="G403" s="2" t="n">
        <v>400</v>
      </c>
      <c r="H403" s="2" t="n">
        <v>400</v>
      </c>
      <c r="I403" s="2" t="n">
        <v>31</v>
      </c>
      <c r="J403" s="2"/>
      <c r="K403" s="2" t="n">
        <v>0</v>
      </c>
      <c r="L403" s="2" t="n">
        <v>0</v>
      </c>
      <c r="M403" s="2" t="n">
        <v>1</v>
      </c>
      <c r="N403" s="2" t="n">
        <v>0</v>
      </c>
      <c r="O403" s="2" t="n">
        <v>0</v>
      </c>
      <c r="P403" s="2" t="n">
        <v>1</v>
      </c>
      <c r="Q403" s="2" t="n">
        <v>1</v>
      </c>
      <c r="R403" s="2" t="n">
        <v>0</v>
      </c>
      <c r="S403" s="2" t="n">
        <f aca="false">A404-A403</f>
        <v>0.199999999999989</v>
      </c>
      <c r="T403" s="2" t="n">
        <f aca="false">C403+Summary!$C$8*D403</f>
        <v>0.1116985</v>
      </c>
      <c r="U403" s="2" t="n">
        <f aca="false">B403*T403</f>
        <v>1.319606079</v>
      </c>
      <c r="V403" s="2" t="n">
        <f aca="false">B403*C403</f>
        <v>1.205028</v>
      </c>
    </row>
    <row r="404" customFormat="false" ht="15" hidden="false" customHeight="false" outlineLevel="0" collapsed="false">
      <c r="A404" s="2" t="n">
        <v>255.26</v>
      </c>
      <c r="B404" s="2" t="n">
        <v>11.814</v>
      </c>
      <c r="C404" s="2" t="n">
        <v>0.101</v>
      </c>
      <c r="D404" s="2" t="n">
        <v>0.119</v>
      </c>
      <c r="E404" s="2" t="n">
        <v>0</v>
      </c>
      <c r="F404" s="2" t="n">
        <v>76</v>
      </c>
      <c r="G404" s="2" t="n">
        <v>400</v>
      </c>
      <c r="H404" s="2" t="n">
        <v>400</v>
      </c>
      <c r="I404" s="2" t="n">
        <v>30</v>
      </c>
      <c r="J404" s="2"/>
      <c r="K404" s="2" t="n">
        <v>0</v>
      </c>
      <c r="L404" s="2" t="n">
        <v>0</v>
      </c>
      <c r="M404" s="2" t="n">
        <v>1</v>
      </c>
      <c r="N404" s="2" t="n">
        <v>0</v>
      </c>
      <c r="O404" s="2" t="n">
        <v>0</v>
      </c>
      <c r="P404" s="2" t="n">
        <v>1</v>
      </c>
      <c r="Q404" s="2" t="n">
        <v>1</v>
      </c>
      <c r="R404" s="2" t="n">
        <v>0</v>
      </c>
      <c r="S404" s="2" t="n">
        <f aca="false">A405-A404</f>
        <v>0.200000000000017</v>
      </c>
      <c r="T404" s="2" t="n">
        <f aca="false">C404+Summary!$C$8*D404</f>
        <v>0.1106985</v>
      </c>
      <c r="U404" s="2" t="n">
        <f aca="false">B404*T404</f>
        <v>1.307792079</v>
      </c>
      <c r="V404" s="2" t="n">
        <f aca="false">B404*C404</f>
        <v>1.193214</v>
      </c>
    </row>
    <row r="405" customFormat="false" ht="15" hidden="false" customHeight="false" outlineLevel="0" collapsed="false">
      <c r="A405" s="2" t="n">
        <v>255.46</v>
      </c>
      <c r="B405" s="2" t="n">
        <v>11.814</v>
      </c>
      <c r="C405" s="2" t="n">
        <v>0.102</v>
      </c>
      <c r="D405" s="2" t="n">
        <v>0.125</v>
      </c>
      <c r="E405" s="2" t="n">
        <v>0</v>
      </c>
      <c r="F405" s="2" t="n">
        <v>76</v>
      </c>
      <c r="G405" s="2" t="n">
        <v>400</v>
      </c>
      <c r="H405" s="2" t="n">
        <v>400</v>
      </c>
      <c r="I405" s="2" t="n">
        <v>30</v>
      </c>
      <c r="J405" s="2"/>
      <c r="K405" s="2" t="n">
        <v>0</v>
      </c>
      <c r="L405" s="2" t="n">
        <v>0</v>
      </c>
      <c r="M405" s="2" t="n">
        <v>1</v>
      </c>
      <c r="N405" s="2" t="n">
        <v>0</v>
      </c>
      <c r="O405" s="2" t="n">
        <v>0</v>
      </c>
      <c r="P405" s="2" t="n">
        <v>1</v>
      </c>
      <c r="Q405" s="2" t="n">
        <v>1</v>
      </c>
      <c r="R405" s="2" t="n">
        <v>0</v>
      </c>
      <c r="S405" s="2" t="n">
        <f aca="false">A406-A405</f>
        <v>0.199999999999989</v>
      </c>
      <c r="T405" s="2" t="n">
        <f aca="false">C405+Summary!$C$8*D405</f>
        <v>0.1121875</v>
      </c>
      <c r="U405" s="2" t="n">
        <f aca="false">B405*T405</f>
        <v>1.325383125</v>
      </c>
      <c r="V405" s="2" t="n">
        <f aca="false">B405*C405</f>
        <v>1.205028</v>
      </c>
    </row>
    <row r="406" customFormat="false" ht="15" hidden="false" customHeight="false" outlineLevel="0" collapsed="false">
      <c r="A406" s="2" t="n">
        <v>255.66</v>
      </c>
      <c r="B406" s="2" t="n">
        <v>11.814</v>
      </c>
      <c r="C406" s="2" t="n">
        <v>0.102</v>
      </c>
      <c r="D406" s="2" t="n">
        <v>0.117</v>
      </c>
      <c r="E406" s="2" t="n">
        <v>0</v>
      </c>
      <c r="F406" s="2" t="n">
        <v>76</v>
      </c>
      <c r="G406" s="2" t="n">
        <v>400</v>
      </c>
      <c r="H406" s="2" t="n">
        <v>400</v>
      </c>
      <c r="I406" s="2" t="n">
        <v>30</v>
      </c>
      <c r="J406" s="2"/>
      <c r="K406" s="2" t="n">
        <v>0</v>
      </c>
      <c r="L406" s="2" t="n">
        <v>0</v>
      </c>
      <c r="M406" s="2" t="n">
        <v>1</v>
      </c>
      <c r="N406" s="2" t="n">
        <v>0</v>
      </c>
      <c r="O406" s="2" t="n">
        <v>0</v>
      </c>
      <c r="P406" s="2" t="n">
        <v>1</v>
      </c>
      <c r="Q406" s="2" t="n">
        <v>1</v>
      </c>
      <c r="R406" s="2" t="n">
        <v>0</v>
      </c>
      <c r="S406" s="2" t="n">
        <f aca="false">A407-A406</f>
        <v>0.200000000000017</v>
      </c>
      <c r="T406" s="2" t="n">
        <f aca="false">C406+Summary!$C$8*D406</f>
        <v>0.1115355</v>
      </c>
      <c r="U406" s="2" t="n">
        <f aca="false">B406*T406</f>
        <v>1.317680397</v>
      </c>
      <c r="V406" s="2" t="n">
        <f aca="false">B406*C406</f>
        <v>1.205028</v>
      </c>
    </row>
    <row r="407" customFormat="false" ht="15" hidden="false" customHeight="false" outlineLevel="0" collapsed="false">
      <c r="A407" s="2" t="n">
        <v>255.86</v>
      </c>
      <c r="B407" s="2" t="n">
        <v>11.81</v>
      </c>
      <c r="C407" s="2" t="n">
        <v>0.102</v>
      </c>
      <c r="D407" s="2" t="n">
        <v>0.124</v>
      </c>
      <c r="E407" s="2" t="n">
        <v>0</v>
      </c>
      <c r="F407" s="2" t="n">
        <v>76</v>
      </c>
      <c r="G407" s="2" t="n">
        <v>400</v>
      </c>
      <c r="H407" s="2" t="n">
        <v>400</v>
      </c>
      <c r="I407" s="2" t="n">
        <v>31</v>
      </c>
      <c r="J407" s="2"/>
      <c r="K407" s="2" t="n">
        <v>0</v>
      </c>
      <c r="L407" s="2" t="n">
        <v>0</v>
      </c>
      <c r="M407" s="2" t="n">
        <v>1</v>
      </c>
      <c r="N407" s="2" t="n">
        <v>0</v>
      </c>
      <c r="O407" s="2" t="n">
        <v>0</v>
      </c>
      <c r="P407" s="2" t="n">
        <v>1</v>
      </c>
      <c r="Q407" s="2" t="n">
        <v>1</v>
      </c>
      <c r="R407" s="2" t="n">
        <v>0</v>
      </c>
      <c r="S407" s="2" t="n">
        <f aca="false">A408-A407</f>
        <v>0.199999999999989</v>
      </c>
      <c r="T407" s="2" t="n">
        <f aca="false">C407+Summary!$C$8*D407</f>
        <v>0.112106</v>
      </c>
      <c r="U407" s="2" t="n">
        <f aca="false">B407*T407</f>
        <v>1.32397186</v>
      </c>
      <c r="V407" s="2" t="n">
        <f aca="false">B407*C407</f>
        <v>1.20462</v>
      </c>
    </row>
    <row r="408" customFormat="false" ht="15" hidden="false" customHeight="false" outlineLevel="0" collapsed="false">
      <c r="A408" s="2" t="n">
        <v>256.06</v>
      </c>
      <c r="B408" s="2" t="n">
        <v>11.81</v>
      </c>
      <c r="C408" s="2" t="n">
        <v>0.102</v>
      </c>
      <c r="D408" s="2" t="n">
        <v>0.122</v>
      </c>
      <c r="E408" s="2" t="n">
        <v>0</v>
      </c>
      <c r="F408" s="2" t="n">
        <v>76</v>
      </c>
      <c r="G408" s="2" t="n">
        <v>400</v>
      </c>
      <c r="H408" s="2" t="n">
        <v>400</v>
      </c>
      <c r="I408" s="2" t="n">
        <v>30</v>
      </c>
      <c r="J408" s="2"/>
      <c r="K408" s="2" t="n">
        <v>0</v>
      </c>
      <c r="L408" s="2" t="n">
        <v>0</v>
      </c>
      <c r="M408" s="2" t="n">
        <v>1</v>
      </c>
      <c r="N408" s="2" t="n">
        <v>0</v>
      </c>
      <c r="O408" s="2" t="n">
        <v>0</v>
      </c>
      <c r="P408" s="2" t="n">
        <v>1</v>
      </c>
      <c r="Q408" s="2" t="n">
        <v>1</v>
      </c>
      <c r="R408" s="2" t="n">
        <v>0</v>
      </c>
      <c r="S408" s="2" t="n">
        <f aca="false">A409-A408</f>
        <v>0.199999999999989</v>
      </c>
      <c r="T408" s="2" t="n">
        <f aca="false">C408+Summary!$C$8*D408</f>
        <v>0.111943</v>
      </c>
      <c r="U408" s="2" t="n">
        <f aca="false">B408*T408</f>
        <v>1.32204683</v>
      </c>
      <c r="V408" s="2" t="n">
        <f aca="false">B408*C408</f>
        <v>1.20462</v>
      </c>
    </row>
    <row r="409" customFormat="false" ht="15" hidden="false" customHeight="false" outlineLevel="0" collapsed="false">
      <c r="A409" s="2" t="n">
        <v>256.26</v>
      </c>
      <c r="B409" s="2" t="n">
        <v>11.814</v>
      </c>
      <c r="C409" s="2" t="n">
        <v>0.101</v>
      </c>
      <c r="D409" s="2" t="n">
        <v>0.124</v>
      </c>
      <c r="E409" s="2" t="n">
        <v>0</v>
      </c>
      <c r="F409" s="2" t="n">
        <v>76</v>
      </c>
      <c r="G409" s="2" t="n">
        <v>400</v>
      </c>
      <c r="H409" s="2" t="n">
        <v>400</v>
      </c>
      <c r="I409" s="2" t="n">
        <v>30</v>
      </c>
      <c r="J409" s="2"/>
      <c r="K409" s="2" t="n">
        <v>0</v>
      </c>
      <c r="L409" s="2" t="n">
        <v>0</v>
      </c>
      <c r="M409" s="2" t="n">
        <v>1</v>
      </c>
      <c r="N409" s="2" t="n">
        <v>0</v>
      </c>
      <c r="O409" s="2" t="n">
        <v>0</v>
      </c>
      <c r="P409" s="2" t="n">
        <v>1</v>
      </c>
      <c r="Q409" s="2" t="n">
        <v>1</v>
      </c>
      <c r="R409" s="2" t="n">
        <v>0</v>
      </c>
      <c r="S409" s="2" t="n">
        <f aca="false">A410-A409</f>
        <v>0.199999999999989</v>
      </c>
      <c r="T409" s="2" t="n">
        <f aca="false">C409+Summary!$C$8*D409</f>
        <v>0.111106</v>
      </c>
      <c r="U409" s="2" t="n">
        <f aca="false">B409*T409</f>
        <v>1.312606284</v>
      </c>
      <c r="V409" s="2" t="n">
        <f aca="false">B409*C409</f>
        <v>1.193214</v>
      </c>
    </row>
    <row r="410" customFormat="false" ht="15" hidden="false" customHeight="false" outlineLevel="0" collapsed="false">
      <c r="A410" s="2" t="n">
        <v>256.46</v>
      </c>
      <c r="B410" s="2" t="n">
        <v>11.81</v>
      </c>
      <c r="C410" s="2" t="n">
        <v>0.101</v>
      </c>
      <c r="D410" s="2" t="n">
        <v>0.128</v>
      </c>
      <c r="E410" s="2" t="n">
        <v>0</v>
      </c>
      <c r="F410" s="2" t="n">
        <v>76</v>
      </c>
      <c r="G410" s="2" t="n">
        <v>400</v>
      </c>
      <c r="H410" s="2" t="n">
        <v>400</v>
      </c>
      <c r="I410" s="2" t="n">
        <v>30</v>
      </c>
      <c r="J410" s="2"/>
      <c r="K410" s="2" t="n">
        <v>0</v>
      </c>
      <c r="L410" s="2" t="n">
        <v>0</v>
      </c>
      <c r="M410" s="2" t="n">
        <v>1</v>
      </c>
      <c r="N410" s="2" t="n">
        <v>0</v>
      </c>
      <c r="O410" s="2" t="n">
        <v>0</v>
      </c>
      <c r="P410" s="2" t="n">
        <v>1</v>
      </c>
      <c r="Q410" s="2" t="n">
        <v>1</v>
      </c>
      <c r="R410" s="2" t="n">
        <v>0</v>
      </c>
      <c r="S410" s="2" t="n">
        <f aca="false">A411-A410</f>
        <v>0.200000000000045</v>
      </c>
      <c r="T410" s="2" t="n">
        <f aca="false">C410+Summary!$C$8*D410</f>
        <v>0.111432</v>
      </c>
      <c r="U410" s="2" t="n">
        <f aca="false">B410*T410</f>
        <v>1.31601192</v>
      </c>
      <c r="V410" s="2" t="n">
        <f aca="false">B410*C410</f>
        <v>1.19281</v>
      </c>
    </row>
    <row r="411" customFormat="false" ht="15" hidden="false" customHeight="false" outlineLevel="0" collapsed="false">
      <c r="A411" s="2" t="n">
        <v>256.66</v>
      </c>
      <c r="B411" s="2" t="n">
        <v>11.81</v>
      </c>
      <c r="C411" s="2" t="n">
        <v>0.103</v>
      </c>
      <c r="D411" s="2" t="n">
        <v>0.121</v>
      </c>
      <c r="E411" s="2" t="n">
        <v>0</v>
      </c>
      <c r="F411" s="2" t="n">
        <v>76</v>
      </c>
      <c r="G411" s="2" t="n">
        <v>400</v>
      </c>
      <c r="H411" s="2" t="n">
        <v>400</v>
      </c>
      <c r="I411" s="2" t="n">
        <v>30</v>
      </c>
      <c r="J411" s="2"/>
      <c r="K411" s="2" t="n">
        <v>0</v>
      </c>
      <c r="L411" s="2" t="n">
        <v>0</v>
      </c>
      <c r="M411" s="2" t="n">
        <v>1</v>
      </c>
      <c r="N411" s="2" t="n">
        <v>0</v>
      </c>
      <c r="O411" s="2" t="n">
        <v>0</v>
      </c>
      <c r="P411" s="2" t="n">
        <v>1</v>
      </c>
      <c r="Q411" s="2" t="n">
        <v>1</v>
      </c>
      <c r="R411" s="2" t="n">
        <v>0</v>
      </c>
      <c r="S411" s="2" t="n">
        <f aca="false">A412-A411</f>
        <v>0.199999999999989</v>
      </c>
      <c r="T411" s="2" t="n">
        <f aca="false">C411+Summary!$C$8*D411</f>
        <v>0.1128615</v>
      </c>
      <c r="U411" s="2" t="n">
        <f aca="false">B411*T411</f>
        <v>1.332894315</v>
      </c>
      <c r="V411" s="2" t="n">
        <f aca="false">B411*C411</f>
        <v>1.21643</v>
      </c>
    </row>
    <row r="412" customFormat="false" ht="15" hidden="false" customHeight="false" outlineLevel="0" collapsed="false">
      <c r="A412" s="2" t="n">
        <v>256.86</v>
      </c>
      <c r="B412" s="2" t="n">
        <v>11.809</v>
      </c>
      <c r="C412" s="2" t="n">
        <v>0.102</v>
      </c>
      <c r="D412" s="2" t="n">
        <v>0.127</v>
      </c>
      <c r="E412" s="2" t="n">
        <v>0</v>
      </c>
      <c r="F412" s="2" t="n">
        <v>76</v>
      </c>
      <c r="G412" s="2" t="n">
        <v>400</v>
      </c>
      <c r="H412" s="2" t="n">
        <v>400</v>
      </c>
      <c r="I412" s="2" t="n">
        <v>30</v>
      </c>
      <c r="J412" s="2"/>
      <c r="K412" s="2" t="n">
        <v>0</v>
      </c>
      <c r="L412" s="2" t="n">
        <v>0</v>
      </c>
      <c r="M412" s="2" t="n">
        <v>1</v>
      </c>
      <c r="N412" s="2" t="n">
        <v>0</v>
      </c>
      <c r="O412" s="2" t="n">
        <v>0</v>
      </c>
      <c r="P412" s="2" t="n">
        <v>1</v>
      </c>
      <c r="Q412" s="2" t="n">
        <v>1</v>
      </c>
      <c r="R412" s="2" t="n">
        <v>0</v>
      </c>
      <c r="S412" s="2" t="n">
        <f aca="false">A413-A412</f>
        <v>0.199999999999989</v>
      </c>
      <c r="T412" s="2" t="n">
        <f aca="false">C412+Summary!$C$8*D412</f>
        <v>0.1123505</v>
      </c>
      <c r="U412" s="2" t="n">
        <f aca="false">B412*T412</f>
        <v>1.3267470545</v>
      </c>
      <c r="V412" s="2" t="n">
        <f aca="false">B412*C412</f>
        <v>1.204518</v>
      </c>
    </row>
    <row r="413" customFormat="false" ht="15" hidden="false" customHeight="false" outlineLevel="0" collapsed="false">
      <c r="A413" s="2" t="n">
        <v>257.06</v>
      </c>
      <c r="B413" s="2" t="n">
        <v>11.809</v>
      </c>
      <c r="C413" s="2" t="n">
        <v>0.101</v>
      </c>
      <c r="D413" s="2" t="n">
        <v>0.125</v>
      </c>
      <c r="E413" s="2" t="n">
        <v>0</v>
      </c>
      <c r="F413" s="2" t="n">
        <v>76</v>
      </c>
      <c r="G413" s="2" t="n">
        <v>400</v>
      </c>
      <c r="H413" s="2" t="n">
        <v>400</v>
      </c>
      <c r="I413" s="2" t="n">
        <v>30</v>
      </c>
      <c r="J413" s="2"/>
      <c r="K413" s="2" t="n">
        <v>0</v>
      </c>
      <c r="L413" s="2" t="n">
        <v>0</v>
      </c>
      <c r="M413" s="2" t="n">
        <v>1</v>
      </c>
      <c r="N413" s="2" t="n">
        <v>0</v>
      </c>
      <c r="O413" s="2" t="n">
        <v>0</v>
      </c>
      <c r="P413" s="2" t="n">
        <v>1</v>
      </c>
      <c r="Q413" s="2" t="n">
        <v>1</v>
      </c>
      <c r="R413" s="2" t="n">
        <v>0</v>
      </c>
      <c r="S413" s="2" t="n">
        <f aca="false">A414-A413</f>
        <v>0.199999999999989</v>
      </c>
      <c r="T413" s="2" t="n">
        <f aca="false">C413+Summary!$C$8*D413</f>
        <v>0.1111875</v>
      </c>
      <c r="U413" s="2" t="n">
        <f aca="false">B413*T413</f>
        <v>1.3130131875</v>
      </c>
      <c r="V413" s="2" t="n">
        <f aca="false">B413*C413</f>
        <v>1.192709</v>
      </c>
    </row>
    <row r="414" customFormat="false" ht="15" hidden="false" customHeight="false" outlineLevel="0" collapsed="false">
      <c r="A414" s="2" t="n">
        <v>257.26</v>
      </c>
      <c r="B414" s="2" t="n">
        <v>11.809</v>
      </c>
      <c r="C414" s="2" t="n">
        <v>0.102</v>
      </c>
      <c r="D414" s="2" t="n">
        <v>0.127</v>
      </c>
      <c r="E414" s="2" t="n">
        <v>0</v>
      </c>
      <c r="F414" s="2" t="n">
        <v>76</v>
      </c>
      <c r="G414" s="2" t="n">
        <v>400</v>
      </c>
      <c r="H414" s="2" t="n">
        <v>400</v>
      </c>
      <c r="I414" s="2" t="n">
        <v>30</v>
      </c>
      <c r="J414" s="2"/>
      <c r="K414" s="2" t="n">
        <v>0</v>
      </c>
      <c r="L414" s="2" t="n">
        <v>0</v>
      </c>
      <c r="M414" s="2" t="n">
        <v>1</v>
      </c>
      <c r="N414" s="2" t="n">
        <v>0</v>
      </c>
      <c r="O414" s="2" t="n">
        <v>0</v>
      </c>
      <c r="P414" s="2" t="n">
        <v>1</v>
      </c>
      <c r="Q414" s="2" t="n">
        <v>1</v>
      </c>
      <c r="R414" s="2" t="n">
        <v>0</v>
      </c>
      <c r="S414" s="2" t="n">
        <f aca="false">A415-A414</f>
        <v>0.199999999999989</v>
      </c>
      <c r="T414" s="2" t="n">
        <f aca="false">C414+Summary!$C$8*D414</f>
        <v>0.1123505</v>
      </c>
      <c r="U414" s="2" t="n">
        <f aca="false">B414*T414</f>
        <v>1.3267470545</v>
      </c>
      <c r="V414" s="2" t="n">
        <f aca="false">B414*C414</f>
        <v>1.204518</v>
      </c>
    </row>
    <row r="415" customFormat="false" ht="15" hidden="false" customHeight="false" outlineLevel="0" collapsed="false">
      <c r="A415" s="2" t="n">
        <v>257.46</v>
      </c>
      <c r="B415" s="2" t="n">
        <v>11.806</v>
      </c>
      <c r="C415" s="2" t="n">
        <v>0.101</v>
      </c>
      <c r="D415" s="2" t="n">
        <v>0.125</v>
      </c>
      <c r="E415" s="2" t="n">
        <v>0</v>
      </c>
      <c r="F415" s="2" t="n">
        <v>76</v>
      </c>
      <c r="G415" s="2" t="n">
        <v>400</v>
      </c>
      <c r="H415" s="2" t="n">
        <v>400</v>
      </c>
      <c r="I415" s="2" t="n">
        <v>30</v>
      </c>
      <c r="J415" s="2"/>
      <c r="K415" s="2" t="n">
        <v>0</v>
      </c>
      <c r="L415" s="2" t="n">
        <v>0</v>
      </c>
      <c r="M415" s="2" t="n">
        <v>1</v>
      </c>
      <c r="N415" s="2" t="n">
        <v>0</v>
      </c>
      <c r="O415" s="2" t="n">
        <v>0</v>
      </c>
      <c r="P415" s="2" t="n">
        <v>1</v>
      </c>
      <c r="Q415" s="2" t="n">
        <v>1</v>
      </c>
      <c r="R415" s="2" t="n">
        <v>0</v>
      </c>
      <c r="S415" s="2" t="n">
        <f aca="false">A416-A415</f>
        <v>0.200000000000045</v>
      </c>
      <c r="T415" s="2" t="n">
        <f aca="false">C415+Summary!$C$8*D415</f>
        <v>0.1111875</v>
      </c>
      <c r="U415" s="2" t="n">
        <f aca="false">B415*T415</f>
        <v>1.312679625</v>
      </c>
      <c r="V415" s="2" t="n">
        <f aca="false">B415*C415</f>
        <v>1.192406</v>
      </c>
    </row>
    <row r="416" customFormat="false" ht="15" hidden="false" customHeight="false" outlineLevel="0" collapsed="false">
      <c r="A416" s="2" t="n">
        <v>257.66</v>
      </c>
      <c r="B416" s="2" t="n">
        <v>11.81</v>
      </c>
      <c r="C416" s="2" t="n">
        <v>0.106</v>
      </c>
      <c r="D416" s="2" t="n">
        <v>0.127</v>
      </c>
      <c r="E416" s="2" t="n">
        <v>0</v>
      </c>
      <c r="F416" s="2" t="n">
        <v>76</v>
      </c>
      <c r="G416" s="2" t="n">
        <v>400</v>
      </c>
      <c r="H416" s="2" t="n">
        <v>400</v>
      </c>
      <c r="I416" s="2" t="n">
        <v>31</v>
      </c>
      <c r="J416" s="2"/>
      <c r="K416" s="2" t="n">
        <v>0</v>
      </c>
      <c r="L416" s="2" t="n">
        <v>0</v>
      </c>
      <c r="M416" s="2" t="n">
        <v>1</v>
      </c>
      <c r="N416" s="2" t="n">
        <v>0</v>
      </c>
      <c r="O416" s="2" t="n">
        <v>0</v>
      </c>
      <c r="P416" s="2" t="n">
        <v>1</v>
      </c>
      <c r="Q416" s="2" t="n">
        <v>1</v>
      </c>
      <c r="R416" s="2" t="n">
        <v>0</v>
      </c>
      <c r="S416" s="2" t="n">
        <f aca="false">A417-A416</f>
        <v>0.199999999999989</v>
      </c>
      <c r="T416" s="2" t="n">
        <f aca="false">C416+Summary!$C$8*D416</f>
        <v>0.1163505</v>
      </c>
      <c r="U416" s="2" t="n">
        <f aca="false">B416*T416</f>
        <v>1.374099405</v>
      </c>
      <c r="V416" s="2" t="n">
        <f aca="false">B416*C416</f>
        <v>1.25186</v>
      </c>
    </row>
    <row r="417" customFormat="false" ht="15" hidden="false" customHeight="false" outlineLevel="0" collapsed="false">
      <c r="A417" s="2" t="n">
        <v>257.86</v>
      </c>
      <c r="B417" s="2" t="n">
        <v>11.814</v>
      </c>
      <c r="C417" s="2" t="n">
        <v>0.101</v>
      </c>
      <c r="D417" s="2" t="n">
        <v>0.125</v>
      </c>
      <c r="E417" s="2" t="n">
        <v>0</v>
      </c>
      <c r="F417" s="2" t="n">
        <v>76</v>
      </c>
      <c r="G417" s="2" t="n">
        <v>400</v>
      </c>
      <c r="H417" s="2" t="n">
        <v>400</v>
      </c>
      <c r="I417" s="2" t="n">
        <v>30</v>
      </c>
      <c r="J417" s="2"/>
      <c r="K417" s="2" t="n">
        <v>0</v>
      </c>
      <c r="L417" s="2" t="n">
        <v>0</v>
      </c>
      <c r="M417" s="2" t="n">
        <v>1</v>
      </c>
      <c r="N417" s="2" t="n">
        <v>0</v>
      </c>
      <c r="O417" s="2" t="n">
        <v>0</v>
      </c>
      <c r="P417" s="2" t="n">
        <v>1</v>
      </c>
      <c r="Q417" s="2" t="n">
        <v>1</v>
      </c>
      <c r="R417" s="2" t="n">
        <v>0</v>
      </c>
      <c r="S417" s="2" t="n">
        <f aca="false">A418-A417</f>
        <v>0.199999999999989</v>
      </c>
      <c r="T417" s="2" t="n">
        <f aca="false">C417+Summary!$C$8*D417</f>
        <v>0.1111875</v>
      </c>
      <c r="U417" s="2" t="n">
        <f aca="false">B417*T417</f>
        <v>1.313569125</v>
      </c>
      <c r="V417" s="2" t="n">
        <f aca="false">B417*C417</f>
        <v>1.193214</v>
      </c>
    </row>
    <row r="418" customFormat="false" ht="15" hidden="false" customHeight="false" outlineLevel="0" collapsed="false">
      <c r="A418" s="2" t="n">
        <v>258.06</v>
      </c>
      <c r="B418" s="2" t="n">
        <v>11.814</v>
      </c>
      <c r="C418" s="2" t="n">
        <v>0.101</v>
      </c>
      <c r="D418" s="2" t="n">
        <v>0.128</v>
      </c>
      <c r="E418" s="2" t="n">
        <v>0</v>
      </c>
      <c r="F418" s="2" t="n">
        <v>76</v>
      </c>
      <c r="G418" s="2" t="n">
        <v>400</v>
      </c>
      <c r="H418" s="2" t="n">
        <v>400</v>
      </c>
      <c r="I418" s="2" t="n">
        <v>30</v>
      </c>
      <c r="J418" s="2"/>
      <c r="K418" s="2" t="n">
        <v>0</v>
      </c>
      <c r="L418" s="2" t="n">
        <v>0</v>
      </c>
      <c r="M418" s="2" t="n">
        <v>1</v>
      </c>
      <c r="N418" s="2" t="n">
        <v>0</v>
      </c>
      <c r="O418" s="2" t="n">
        <v>0</v>
      </c>
      <c r="P418" s="2" t="n">
        <v>1</v>
      </c>
      <c r="Q418" s="2" t="n">
        <v>1</v>
      </c>
      <c r="R418" s="2" t="n">
        <v>0</v>
      </c>
      <c r="S418" s="2" t="n">
        <f aca="false">A419-A418</f>
        <v>0.199999999999989</v>
      </c>
      <c r="T418" s="2" t="n">
        <f aca="false">C418+Summary!$C$8*D418</f>
        <v>0.111432</v>
      </c>
      <c r="U418" s="2" t="n">
        <f aca="false">B418*T418</f>
        <v>1.316457648</v>
      </c>
      <c r="V418" s="2" t="n">
        <f aca="false">B418*C418</f>
        <v>1.193214</v>
      </c>
    </row>
    <row r="419" customFormat="false" ht="15" hidden="false" customHeight="false" outlineLevel="0" collapsed="false">
      <c r="A419" s="2" t="n">
        <v>258.26</v>
      </c>
      <c r="B419" s="2" t="n">
        <v>11.794</v>
      </c>
      <c r="C419" s="2" t="n">
        <v>0.107</v>
      </c>
      <c r="D419" s="2" t="n">
        <v>0.131</v>
      </c>
      <c r="E419" s="2" t="n">
        <v>0</v>
      </c>
      <c r="F419" s="2" t="n">
        <v>76</v>
      </c>
      <c r="G419" s="2" t="n">
        <v>400</v>
      </c>
      <c r="H419" s="2" t="n">
        <v>400</v>
      </c>
      <c r="I419" s="2" t="n">
        <v>30</v>
      </c>
      <c r="J419" s="2"/>
      <c r="K419" s="2" t="n">
        <v>0</v>
      </c>
      <c r="L419" s="2" t="n">
        <v>0</v>
      </c>
      <c r="M419" s="2" t="n">
        <v>1</v>
      </c>
      <c r="N419" s="2" t="n">
        <v>0</v>
      </c>
      <c r="O419" s="2" t="n">
        <v>0</v>
      </c>
      <c r="P419" s="2" t="n">
        <v>1</v>
      </c>
      <c r="Q419" s="2" t="n">
        <v>1</v>
      </c>
      <c r="R419" s="2" t="n">
        <v>0</v>
      </c>
      <c r="S419" s="2" t="n">
        <f aca="false">A420-A419</f>
        <v>0.199999999999989</v>
      </c>
      <c r="T419" s="2" t="n">
        <f aca="false">C419+Summary!$C$8*D419</f>
        <v>0.1176765</v>
      </c>
      <c r="U419" s="2" t="n">
        <f aca="false">B419*T419</f>
        <v>1.387876641</v>
      </c>
      <c r="V419" s="2" t="n">
        <f aca="false">B419*C419</f>
        <v>1.261958</v>
      </c>
    </row>
    <row r="420" customFormat="false" ht="15" hidden="false" customHeight="false" outlineLevel="0" collapsed="false">
      <c r="A420" s="2" t="n">
        <v>258.46</v>
      </c>
      <c r="B420" s="2" t="n">
        <v>11.81</v>
      </c>
      <c r="C420" s="2" t="n">
        <v>0.102</v>
      </c>
      <c r="D420" s="2" t="n">
        <v>0.127</v>
      </c>
      <c r="E420" s="2" t="n">
        <v>0</v>
      </c>
      <c r="F420" s="2" t="n">
        <v>76</v>
      </c>
      <c r="G420" s="2" t="n">
        <v>400</v>
      </c>
      <c r="H420" s="2" t="n">
        <v>400</v>
      </c>
      <c r="I420" s="2" t="n">
        <v>30</v>
      </c>
      <c r="J420" s="2"/>
      <c r="K420" s="2" t="n">
        <v>0</v>
      </c>
      <c r="L420" s="2" t="n">
        <v>0</v>
      </c>
      <c r="M420" s="2" t="n">
        <v>1</v>
      </c>
      <c r="N420" s="2" t="n">
        <v>0</v>
      </c>
      <c r="O420" s="2" t="n">
        <v>0</v>
      </c>
      <c r="P420" s="2" t="n">
        <v>1</v>
      </c>
      <c r="Q420" s="2" t="n">
        <v>1</v>
      </c>
      <c r="R420" s="2" t="n">
        <v>0</v>
      </c>
      <c r="S420" s="2" t="n">
        <f aca="false">A421-A420</f>
        <v>0.200000000000045</v>
      </c>
      <c r="T420" s="2" t="n">
        <f aca="false">C420+Summary!$C$8*D420</f>
        <v>0.1123505</v>
      </c>
      <c r="U420" s="2" t="n">
        <f aca="false">B420*T420</f>
        <v>1.326859405</v>
      </c>
      <c r="V420" s="2" t="n">
        <f aca="false">B420*C420</f>
        <v>1.20462</v>
      </c>
    </row>
    <row r="421" customFormat="false" ht="15" hidden="false" customHeight="false" outlineLevel="0" collapsed="false">
      <c r="A421" s="2" t="n">
        <v>258.66</v>
      </c>
      <c r="B421" s="2" t="n">
        <v>11.81</v>
      </c>
      <c r="C421" s="2" t="n">
        <v>0.134</v>
      </c>
      <c r="D421" s="2" t="n">
        <v>0.129</v>
      </c>
      <c r="E421" s="2" t="n">
        <v>0</v>
      </c>
      <c r="F421" s="2" t="n">
        <v>76</v>
      </c>
      <c r="G421" s="2" t="n">
        <v>400</v>
      </c>
      <c r="H421" s="2" t="n">
        <v>400</v>
      </c>
      <c r="I421" s="2" t="n">
        <v>30</v>
      </c>
      <c r="J421" s="2"/>
      <c r="K421" s="2" t="n">
        <v>0</v>
      </c>
      <c r="L421" s="2" t="n">
        <v>0</v>
      </c>
      <c r="M421" s="2" t="n">
        <v>1</v>
      </c>
      <c r="N421" s="2" t="n">
        <v>0</v>
      </c>
      <c r="O421" s="2" t="n">
        <v>0</v>
      </c>
      <c r="P421" s="2" t="n">
        <v>1</v>
      </c>
      <c r="Q421" s="2" t="n">
        <v>1</v>
      </c>
      <c r="R421" s="2" t="n">
        <v>0</v>
      </c>
      <c r="S421" s="2" t="n">
        <f aca="false">A422-A421</f>
        <v>0.199999999999989</v>
      </c>
      <c r="T421" s="2" t="n">
        <f aca="false">C421+Summary!$C$8*D421</f>
        <v>0.1445135</v>
      </c>
      <c r="U421" s="2" t="n">
        <f aca="false">B421*T421</f>
        <v>1.706704435</v>
      </c>
      <c r="V421" s="2" t="n">
        <f aca="false">B421*C421</f>
        <v>1.58254</v>
      </c>
    </row>
    <row r="422" customFormat="false" ht="15" hidden="false" customHeight="false" outlineLevel="0" collapsed="false">
      <c r="A422" s="2" t="n">
        <v>258.86</v>
      </c>
      <c r="B422" s="2" t="n">
        <v>11.81</v>
      </c>
      <c r="C422" s="2" t="n">
        <v>0.101</v>
      </c>
      <c r="D422" s="2" t="n">
        <v>0.124</v>
      </c>
      <c r="E422" s="2" t="n">
        <v>0</v>
      </c>
      <c r="F422" s="2" t="n">
        <v>76</v>
      </c>
      <c r="G422" s="2" t="n">
        <v>400</v>
      </c>
      <c r="H422" s="2" t="n">
        <v>400</v>
      </c>
      <c r="I422" s="2" t="n">
        <v>30</v>
      </c>
      <c r="J422" s="2"/>
      <c r="K422" s="2" t="n">
        <v>0</v>
      </c>
      <c r="L422" s="2" t="n">
        <v>0</v>
      </c>
      <c r="M422" s="2" t="n">
        <v>1</v>
      </c>
      <c r="N422" s="2" t="n">
        <v>0</v>
      </c>
      <c r="O422" s="2" t="n">
        <v>0</v>
      </c>
      <c r="P422" s="2" t="n">
        <v>1</v>
      </c>
      <c r="Q422" s="2" t="n">
        <v>1</v>
      </c>
      <c r="R422" s="2" t="n">
        <v>0</v>
      </c>
      <c r="S422" s="2" t="n">
        <f aca="false">A423-A422</f>
        <v>0.199999999999989</v>
      </c>
      <c r="T422" s="2" t="n">
        <f aca="false">C422+Summary!$C$8*D422</f>
        <v>0.111106</v>
      </c>
      <c r="U422" s="2" t="n">
        <f aca="false">B422*T422</f>
        <v>1.31216186</v>
      </c>
      <c r="V422" s="2" t="n">
        <f aca="false">B422*C422</f>
        <v>1.19281</v>
      </c>
    </row>
    <row r="423" customFormat="false" ht="15" hidden="false" customHeight="false" outlineLevel="0" collapsed="false">
      <c r="A423" s="2" t="n">
        <v>259.06</v>
      </c>
      <c r="B423" s="2" t="n">
        <v>11.81</v>
      </c>
      <c r="C423" s="2" t="n">
        <v>0.102</v>
      </c>
      <c r="D423" s="2" t="n">
        <v>0.129</v>
      </c>
      <c r="E423" s="2" t="n">
        <v>0</v>
      </c>
      <c r="F423" s="2" t="n">
        <v>76</v>
      </c>
      <c r="G423" s="2" t="n">
        <v>400</v>
      </c>
      <c r="H423" s="2" t="n">
        <v>400</v>
      </c>
      <c r="I423" s="2" t="n">
        <v>30</v>
      </c>
      <c r="J423" s="2"/>
      <c r="K423" s="2" t="n">
        <v>0</v>
      </c>
      <c r="L423" s="2" t="n">
        <v>0</v>
      </c>
      <c r="M423" s="2" t="n">
        <v>1</v>
      </c>
      <c r="N423" s="2" t="n">
        <v>0</v>
      </c>
      <c r="O423" s="2" t="n">
        <v>0</v>
      </c>
      <c r="P423" s="2" t="n">
        <v>1</v>
      </c>
      <c r="Q423" s="2" t="n">
        <v>1</v>
      </c>
      <c r="R423" s="2" t="n">
        <v>0</v>
      </c>
      <c r="S423" s="2" t="n">
        <f aca="false">A424-A423</f>
        <v>0.199999999999989</v>
      </c>
      <c r="T423" s="2" t="n">
        <f aca="false">C423+Summary!$C$8*D423</f>
        <v>0.1125135</v>
      </c>
      <c r="U423" s="2" t="n">
        <f aca="false">B423*T423</f>
        <v>1.328784435</v>
      </c>
      <c r="V423" s="2" t="n">
        <f aca="false">B423*C423</f>
        <v>1.20462</v>
      </c>
    </row>
    <row r="424" customFormat="false" ht="15" hidden="false" customHeight="false" outlineLevel="0" collapsed="false">
      <c r="A424" s="2" t="n">
        <v>259.26</v>
      </c>
      <c r="B424" s="2" t="n">
        <v>11.81</v>
      </c>
      <c r="C424" s="2" t="n">
        <v>0.134</v>
      </c>
      <c r="D424" s="2" t="n">
        <v>0.12</v>
      </c>
      <c r="E424" s="2" t="n">
        <v>0</v>
      </c>
      <c r="F424" s="2" t="n">
        <v>76</v>
      </c>
      <c r="G424" s="2" t="n">
        <v>400</v>
      </c>
      <c r="H424" s="2" t="n">
        <v>400</v>
      </c>
      <c r="I424" s="2" t="n">
        <v>30</v>
      </c>
      <c r="J424" s="2"/>
      <c r="K424" s="2" t="n">
        <v>0</v>
      </c>
      <c r="L424" s="2" t="n">
        <v>0</v>
      </c>
      <c r="M424" s="2" t="n">
        <v>1</v>
      </c>
      <c r="N424" s="2" t="n">
        <v>0</v>
      </c>
      <c r="O424" s="2" t="n">
        <v>0</v>
      </c>
      <c r="P424" s="2" t="n">
        <v>1</v>
      </c>
      <c r="Q424" s="2" t="n">
        <v>1</v>
      </c>
      <c r="R424" s="2" t="n">
        <v>0</v>
      </c>
      <c r="S424" s="2" t="n">
        <f aca="false">A425-A424</f>
        <v>0.199999999999989</v>
      </c>
      <c r="T424" s="2" t="n">
        <f aca="false">C424+Summary!$C$8*D424</f>
        <v>0.14378</v>
      </c>
      <c r="U424" s="2" t="n">
        <f aca="false">B424*T424</f>
        <v>1.6980418</v>
      </c>
      <c r="V424" s="2" t="n">
        <f aca="false">B424*C424</f>
        <v>1.58254</v>
      </c>
    </row>
    <row r="425" customFormat="false" ht="15" hidden="false" customHeight="false" outlineLevel="0" collapsed="false">
      <c r="A425" s="2" t="n">
        <v>259.46</v>
      </c>
      <c r="B425" s="2" t="n">
        <v>11.81</v>
      </c>
      <c r="C425" s="2" t="n">
        <v>0.101</v>
      </c>
      <c r="D425" s="2" t="n">
        <v>0.122</v>
      </c>
      <c r="E425" s="2" t="n">
        <v>0</v>
      </c>
      <c r="F425" s="2" t="n">
        <v>76</v>
      </c>
      <c r="G425" s="2" t="n">
        <v>400</v>
      </c>
      <c r="H425" s="2" t="n">
        <v>400</v>
      </c>
      <c r="I425" s="2" t="n">
        <v>30</v>
      </c>
      <c r="J425" s="2"/>
      <c r="K425" s="2" t="n">
        <v>0</v>
      </c>
      <c r="L425" s="2" t="n">
        <v>0</v>
      </c>
      <c r="M425" s="2" t="n">
        <v>1</v>
      </c>
      <c r="N425" s="2" t="n">
        <v>0</v>
      </c>
      <c r="O425" s="2" t="n">
        <v>0</v>
      </c>
      <c r="P425" s="2" t="n">
        <v>1</v>
      </c>
      <c r="Q425" s="2" t="n">
        <v>1</v>
      </c>
      <c r="R425" s="2" t="n">
        <v>0</v>
      </c>
      <c r="S425" s="2" t="n">
        <f aca="false">A426-A425</f>
        <v>0.200000000000045</v>
      </c>
      <c r="T425" s="2" t="n">
        <f aca="false">C425+Summary!$C$8*D425</f>
        <v>0.110943</v>
      </c>
      <c r="U425" s="2" t="n">
        <f aca="false">B425*T425</f>
        <v>1.31023683</v>
      </c>
      <c r="V425" s="2" t="n">
        <f aca="false">B425*C425</f>
        <v>1.19281</v>
      </c>
    </row>
    <row r="426" customFormat="false" ht="15" hidden="false" customHeight="false" outlineLevel="0" collapsed="false">
      <c r="A426" s="2" t="n">
        <v>259.66</v>
      </c>
      <c r="B426" s="2" t="n">
        <v>11.814</v>
      </c>
      <c r="C426" s="2" t="n">
        <v>0.102</v>
      </c>
      <c r="D426" s="2" t="n">
        <v>0.124</v>
      </c>
      <c r="E426" s="2" t="n">
        <v>0</v>
      </c>
      <c r="F426" s="2" t="n">
        <v>76</v>
      </c>
      <c r="G426" s="2" t="n">
        <v>400</v>
      </c>
      <c r="H426" s="2" t="n">
        <v>400</v>
      </c>
      <c r="I426" s="2" t="n">
        <v>30</v>
      </c>
      <c r="J426" s="2"/>
      <c r="K426" s="2" t="n">
        <v>0</v>
      </c>
      <c r="L426" s="2" t="n">
        <v>0</v>
      </c>
      <c r="M426" s="2" t="n">
        <v>1</v>
      </c>
      <c r="N426" s="2" t="n">
        <v>0</v>
      </c>
      <c r="O426" s="2" t="n">
        <v>0</v>
      </c>
      <c r="P426" s="2" t="n">
        <v>1</v>
      </c>
      <c r="Q426" s="2" t="n">
        <v>1</v>
      </c>
      <c r="R426" s="2" t="n">
        <v>0</v>
      </c>
      <c r="S426" s="2" t="n">
        <f aca="false">A427-A426</f>
        <v>0.199999999999989</v>
      </c>
      <c r="T426" s="2" t="n">
        <f aca="false">C426+Summary!$C$8*D426</f>
        <v>0.112106</v>
      </c>
      <c r="U426" s="2" t="n">
        <f aca="false">B426*T426</f>
        <v>1.324420284</v>
      </c>
      <c r="V426" s="2" t="n">
        <f aca="false">B426*C426</f>
        <v>1.205028</v>
      </c>
    </row>
    <row r="427" customFormat="false" ht="15" hidden="false" customHeight="false" outlineLevel="0" collapsed="false">
      <c r="A427" s="2" t="n">
        <v>259.86</v>
      </c>
      <c r="B427" s="2" t="n">
        <v>11.81</v>
      </c>
      <c r="C427" s="2" t="n">
        <v>0.101</v>
      </c>
      <c r="D427" s="2" t="n">
        <v>0.124</v>
      </c>
      <c r="E427" s="2" t="n">
        <v>0</v>
      </c>
      <c r="F427" s="2" t="n">
        <v>76</v>
      </c>
      <c r="G427" s="2" t="n">
        <v>400</v>
      </c>
      <c r="H427" s="2" t="n">
        <v>400</v>
      </c>
      <c r="I427" s="2" t="n">
        <v>30</v>
      </c>
      <c r="J427" s="2"/>
      <c r="K427" s="2" t="n">
        <v>0</v>
      </c>
      <c r="L427" s="2" t="n">
        <v>0</v>
      </c>
      <c r="M427" s="2" t="n">
        <v>1</v>
      </c>
      <c r="N427" s="2" t="n">
        <v>0</v>
      </c>
      <c r="O427" s="2" t="n">
        <v>0</v>
      </c>
      <c r="P427" s="2" t="n">
        <v>1</v>
      </c>
      <c r="Q427" s="2" t="n">
        <v>1</v>
      </c>
      <c r="R427" s="2" t="n">
        <v>0</v>
      </c>
      <c r="S427" s="2" t="n">
        <f aca="false">A428-A427</f>
        <v>0.199999999999989</v>
      </c>
      <c r="T427" s="2" t="n">
        <f aca="false">C427+Summary!$C$8*D427</f>
        <v>0.111106</v>
      </c>
      <c r="U427" s="2" t="n">
        <f aca="false">B427*T427</f>
        <v>1.31216186</v>
      </c>
      <c r="V427" s="2" t="n">
        <f aca="false">B427*C427</f>
        <v>1.19281</v>
      </c>
    </row>
    <row r="428" customFormat="false" ht="15" hidden="false" customHeight="false" outlineLevel="0" collapsed="false">
      <c r="A428" s="2" t="n">
        <v>260.06</v>
      </c>
      <c r="B428" s="2" t="n">
        <v>11.814</v>
      </c>
      <c r="C428" s="2" t="n">
        <v>0.102</v>
      </c>
      <c r="D428" s="2" t="n">
        <v>0.125</v>
      </c>
      <c r="E428" s="2" t="n">
        <v>0</v>
      </c>
      <c r="F428" s="2" t="n">
        <v>76</v>
      </c>
      <c r="G428" s="2" t="n">
        <v>400</v>
      </c>
      <c r="H428" s="2" t="n">
        <v>400</v>
      </c>
      <c r="I428" s="2" t="n">
        <v>30</v>
      </c>
      <c r="J428" s="2"/>
      <c r="K428" s="2" t="n">
        <v>0</v>
      </c>
      <c r="L428" s="2" t="n">
        <v>0</v>
      </c>
      <c r="M428" s="2" t="n">
        <v>1</v>
      </c>
      <c r="N428" s="2" t="n">
        <v>0</v>
      </c>
      <c r="O428" s="2" t="n">
        <v>0</v>
      </c>
      <c r="P428" s="2" t="n">
        <v>1</v>
      </c>
      <c r="Q428" s="2" t="n">
        <v>1</v>
      </c>
      <c r="R428" s="2" t="n">
        <v>0</v>
      </c>
      <c r="S428" s="2" t="n">
        <f aca="false">A429-A428</f>
        <v>0.199999999999989</v>
      </c>
      <c r="T428" s="2" t="n">
        <f aca="false">C428+Summary!$C$8*D428</f>
        <v>0.1121875</v>
      </c>
      <c r="U428" s="2" t="n">
        <f aca="false">B428*T428</f>
        <v>1.325383125</v>
      </c>
      <c r="V428" s="2" t="n">
        <f aca="false">B428*C428</f>
        <v>1.205028</v>
      </c>
    </row>
    <row r="429" customFormat="false" ht="15" hidden="false" customHeight="false" outlineLevel="0" collapsed="false">
      <c r="A429" s="2" t="n">
        <v>260.26</v>
      </c>
      <c r="B429" s="2" t="n">
        <v>11.81</v>
      </c>
      <c r="C429" s="2" t="n">
        <v>0.101</v>
      </c>
      <c r="D429" s="2" t="n">
        <v>0.127</v>
      </c>
      <c r="E429" s="2" t="n">
        <v>0</v>
      </c>
      <c r="F429" s="2" t="n">
        <v>76</v>
      </c>
      <c r="G429" s="2" t="n">
        <v>400</v>
      </c>
      <c r="H429" s="2" t="n">
        <v>400</v>
      </c>
      <c r="I429" s="2" t="n">
        <v>30</v>
      </c>
      <c r="J429" s="2"/>
      <c r="K429" s="2" t="n">
        <v>0</v>
      </c>
      <c r="L429" s="2" t="n">
        <v>0</v>
      </c>
      <c r="M429" s="2" t="n">
        <v>1</v>
      </c>
      <c r="N429" s="2" t="n">
        <v>0</v>
      </c>
      <c r="O429" s="2" t="n">
        <v>0</v>
      </c>
      <c r="P429" s="2" t="n">
        <v>1</v>
      </c>
      <c r="Q429" s="2" t="n">
        <v>1</v>
      </c>
      <c r="R429" s="2" t="n">
        <v>0</v>
      </c>
      <c r="S429" s="2" t="n">
        <f aca="false">A430-A429</f>
        <v>0.199999999999989</v>
      </c>
      <c r="T429" s="2" t="n">
        <f aca="false">C429+Summary!$C$8*D429</f>
        <v>0.1113505</v>
      </c>
      <c r="U429" s="2" t="n">
        <f aca="false">B429*T429</f>
        <v>1.315049405</v>
      </c>
      <c r="V429" s="2" t="n">
        <f aca="false">B429*C429</f>
        <v>1.19281</v>
      </c>
    </row>
    <row r="430" customFormat="false" ht="15" hidden="false" customHeight="false" outlineLevel="0" collapsed="false">
      <c r="A430" s="2" t="n">
        <v>260.46</v>
      </c>
      <c r="B430" s="2" t="n">
        <v>11.814</v>
      </c>
      <c r="C430" s="2" t="n">
        <v>0.101</v>
      </c>
      <c r="D430" s="2" t="n">
        <v>0.125</v>
      </c>
      <c r="E430" s="2" t="n">
        <v>0</v>
      </c>
      <c r="F430" s="2" t="n">
        <v>76</v>
      </c>
      <c r="G430" s="2" t="n">
        <v>400</v>
      </c>
      <c r="H430" s="2" t="n">
        <v>400</v>
      </c>
      <c r="I430" s="2" t="n">
        <v>31</v>
      </c>
      <c r="J430" s="2"/>
      <c r="K430" s="2" t="n">
        <v>0</v>
      </c>
      <c r="L430" s="2" t="n">
        <v>0</v>
      </c>
      <c r="M430" s="2" t="n">
        <v>1</v>
      </c>
      <c r="N430" s="2" t="n">
        <v>0</v>
      </c>
      <c r="O430" s="2" t="n">
        <v>0</v>
      </c>
      <c r="P430" s="2" t="n">
        <v>1</v>
      </c>
      <c r="Q430" s="2" t="n">
        <v>1</v>
      </c>
      <c r="R430" s="2" t="n">
        <v>0</v>
      </c>
      <c r="S430" s="2" t="n">
        <f aca="false">A431-A430</f>
        <v>0.200000000000045</v>
      </c>
      <c r="T430" s="2" t="n">
        <f aca="false">C430+Summary!$C$8*D430</f>
        <v>0.1111875</v>
      </c>
      <c r="U430" s="2" t="n">
        <f aca="false">B430*T430</f>
        <v>1.313569125</v>
      </c>
      <c r="V430" s="2" t="n">
        <f aca="false">B430*C430</f>
        <v>1.193214</v>
      </c>
    </row>
    <row r="431" customFormat="false" ht="15" hidden="false" customHeight="false" outlineLevel="0" collapsed="false">
      <c r="A431" s="2" t="n">
        <v>260.66</v>
      </c>
      <c r="B431" s="2" t="n">
        <v>11.81</v>
      </c>
      <c r="C431" s="2" t="n">
        <v>0.102</v>
      </c>
      <c r="D431" s="2" t="n">
        <v>0.129</v>
      </c>
      <c r="E431" s="2" t="n">
        <v>0</v>
      </c>
      <c r="F431" s="2" t="n">
        <v>76</v>
      </c>
      <c r="G431" s="2" t="n">
        <v>400</v>
      </c>
      <c r="H431" s="2" t="n">
        <v>400</v>
      </c>
      <c r="I431" s="2" t="n">
        <v>30</v>
      </c>
      <c r="J431" s="2"/>
      <c r="K431" s="2" t="n">
        <v>1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1</v>
      </c>
      <c r="Q431" s="2" t="n">
        <v>1</v>
      </c>
      <c r="R431" s="2" t="n">
        <v>0</v>
      </c>
      <c r="S431" s="2" t="n">
        <f aca="false">A432-A431</f>
        <v>0.199999999999989</v>
      </c>
      <c r="T431" s="2" t="n">
        <f aca="false">C431+Summary!$C$8*D431</f>
        <v>0.1125135</v>
      </c>
      <c r="U431" s="2" t="n">
        <f aca="false">B431*T431</f>
        <v>1.328784435</v>
      </c>
      <c r="V431" s="2" t="n">
        <f aca="false">B431*C431</f>
        <v>1.20462</v>
      </c>
    </row>
    <row r="432" customFormat="false" ht="15" hidden="false" customHeight="false" outlineLevel="0" collapsed="false">
      <c r="A432" s="2" t="n">
        <v>260.86</v>
      </c>
      <c r="B432" s="2" t="n">
        <v>11.81</v>
      </c>
      <c r="C432" s="2" t="n">
        <v>0.101</v>
      </c>
      <c r="D432" s="2" t="n">
        <v>0.125</v>
      </c>
      <c r="E432" s="2" t="n">
        <v>0</v>
      </c>
      <c r="F432" s="2" t="n">
        <v>76</v>
      </c>
      <c r="G432" s="2" t="n">
        <v>400</v>
      </c>
      <c r="H432" s="2" t="n">
        <v>400</v>
      </c>
      <c r="I432" s="2" t="n">
        <v>30</v>
      </c>
      <c r="J432" s="2"/>
      <c r="K432" s="2" t="n">
        <v>1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1</v>
      </c>
      <c r="Q432" s="2" t="n">
        <v>1</v>
      </c>
      <c r="R432" s="2" t="n">
        <v>0</v>
      </c>
      <c r="S432" s="2" t="n">
        <f aca="false">A433-A432</f>
        <v>0.199999999999989</v>
      </c>
      <c r="T432" s="2" t="n">
        <f aca="false">C432+Summary!$C$8*D432</f>
        <v>0.1111875</v>
      </c>
      <c r="U432" s="2" t="n">
        <f aca="false">B432*T432</f>
        <v>1.313124375</v>
      </c>
      <c r="V432" s="2" t="n">
        <f aca="false">B432*C432</f>
        <v>1.19281</v>
      </c>
    </row>
    <row r="433" customFormat="false" ht="15" hidden="false" customHeight="false" outlineLevel="0" collapsed="false">
      <c r="A433" s="2" t="n">
        <v>261.06</v>
      </c>
      <c r="B433" s="2" t="n">
        <v>11.81</v>
      </c>
      <c r="C433" s="2" t="n">
        <v>0.101</v>
      </c>
      <c r="D433" s="2" t="n">
        <v>0.129</v>
      </c>
      <c r="E433" s="2" t="n">
        <v>0</v>
      </c>
      <c r="F433" s="2" t="n">
        <v>76</v>
      </c>
      <c r="G433" s="2" t="n">
        <v>400</v>
      </c>
      <c r="H433" s="2" t="n">
        <v>400</v>
      </c>
      <c r="I433" s="2" t="n">
        <v>30</v>
      </c>
      <c r="J433" s="2"/>
      <c r="K433" s="2" t="n">
        <v>1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1</v>
      </c>
      <c r="Q433" s="2" t="n">
        <v>1</v>
      </c>
      <c r="R433" s="2" t="n">
        <v>0</v>
      </c>
      <c r="S433" s="2" t="n">
        <f aca="false">A434-A433</f>
        <v>0.199999999999989</v>
      </c>
      <c r="T433" s="2" t="n">
        <f aca="false">C433+Summary!$C$8*D433</f>
        <v>0.1115135</v>
      </c>
      <c r="U433" s="2" t="n">
        <f aca="false">B433*T433</f>
        <v>1.316974435</v>
      </c>
      <c r="V433" s="2" t="n">
        <f aca="false">B433*C433</f>
        <v>1.19281</v>
      </c>
    </row>
    <row r="434" customFormat="false" ht="15" hidden="false" customHeight="false" outlineLevel="0" collapsed="false">
      <c r="A434" s="2" t="n">
        <v>261.26</v>
      </c>
      <c r="B434" s="2" t="n">
        <v>11.81</v>
      </c>
      <c r="C434" s="2" t="n">
        <v>0.102</v>
      </c>
      <c r="D434" s="2" t="n">
        <v>0.129</v>
      </c>
      <c r="E434" s="2" t="n">
        <v>0</v>
      </c>
      <c r="F434" s="2" t="n">
        <v>76</v>
      </c>
      <c r="G434" s="2" t="n">
        <v>400</v>
      </c>
      <c r="H434" s="2" t="n">
        <v>400</v>
      </c>
      <c r="I434" s="2" t="n">
        <v>31</v>
      </c>
      <c r="J434" s="2"/>
      <c r="K434" s="2" t="n">
        <v>1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1</v>
      </c>
      <c r="Q434" s="2" t="n">
        <v>1</v>
      </c>
      <c r="R434" s="2" t="n">
        <v>0</v>
      </c>
      <c r="S434" s="2" t="n">
        <f aca="false">A435-A434</f>
        <v>0.199999999999989</v>
      </c>
      <c r="T434" s="2" t="n">
        <f aca="false">C434+Summary!$C$8*D434</f>
        <v>0.1125135</v>
      </c>
      <c r="U434" s="2" t="n">
        <f aca="false">B434*T434</f>
        <v>1.328784435</v>
      </c>
      <c r="V434" s="2" t="n">
        <f aca="false">B434*C434</f>
        <v>1.20462</v>
      </c>
    </row>
    <row r="435" customFormat="false" ht="15" hidden="false" customHeight="false" outlineLevel="0" collapsed="false">
      <c r="A435" s="2" t="n">
        <v>261.46</v>
      </c>
      <c r="B435" s="2" t="n">
        <v>11.81</v>
      </c>
      <c r="C435" s="2" t="n">
        <v>0.106</v>
      </c>
      <c r="D435" s="2" t="n">
        <v>0.124</v>
      </c>
      <c r="E435" s="2" t="n">
        <v>0</v>
      </c>
      <c r="F435" s="2" t="n">
        <v>76</v>
      </c>
      <c r="G435" s="2" t="n">
        <v>400</v>
      </c>
      <c r="H435" s="2" t="n">
        <v>400</v>
      </c>
      <c r="I435" s="2" t="n">
        <v>30</v>
      </c>
      <c r="J435" s="2"/>
      <c r="K435" s="2" t="n">
        <v>1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1</v>
      </c>
      <c r="Q435" s="2" t="n">
        <v>1</v>
      </c>
      <c r="R435" s="2" t="n">
        <v>0</v>
      </c>
      <c r="S435" s="2" t="n">
        <f aca="false">A436-A435</f>
        <v>0.200000000000045</v>
      </c>
      <c r="T435" s="2" t="n">
        <f aca="false">C435+Summary!$C$8*D435</f>
        <v>0.116106</v>
      </c>
      <c r="U435" s="2" t="n">
        <f aca="false">B435*T435</f>
        <v>1.37121186</v>
      </c>
      <c r="V435" s="2" t="n">
        <f aca="false">B435*C435</f>
        <v>1.25186</v>
      </c>
    </row>
    <row r="436" customFormat="false" ht="15" hidden="false" customHeight="false" outlineLevel="0" collapsed="false">
      <c r="A436" s="2" t="n">
        <v>261.66</v>
      </c>
      <c r="B436" s="2" t="n">
        <v>11.81</v>
      </c>
      <c r="C436" s="2" t="n">
        <v>0.101</v>
      </c>
      <c r="D436" s="2" t="n">
        <v>0.125</v>
      </c>
      <c r="E436" s="2" t="n">
        <v>0</v>
      </c>
      <c r="F436" s="2" t="n">
        <v>76</v>
      </c>
      <c r="G436" s="2" t="n">
        <v>400</v>
      </c>
      <c r="H436" s="2" t="n">
        <v>400</v>
      </c>
      <c r="I436" s="2" t="n">
        <v>31</v>
      </c>
      <c r="J436" s="2"/>
      <c r="K436" s="2" t="n">
        <v>1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1</v>
      </c>
      <c r="Q436" s="2" t="n">
        <v>1</v>
      </c>
      <c r="R436" s="2" t="n">
        <v>0</v>
      </c>
      <c r="S436" s="2" t="n">
        <f aca="false">A437-A436</f>
        <v>0.199999999999989</v>
      </c>
      <c r="T436" s="2" t="n">
        <f aca="false">C436+Summary!$C$8*D436</f>
        <v>0.1111875</v>
      </c>
      <c r="U436" s="2" t="n">
        <f aca="false">B436*T436</f>
        <v>1.313124375</v>
      </c>
      <c r="V436" s="2" t="n">
        <f aca="false">B436*C436</f>
        <v>1.19281</v>
      </c>
    </row>
    <row r="437" customFormat="false" ht="15" hidden="false" customHeight="false" outlineLevel="0" collapsed="false">
      <c r="A437" s="2" t="n">
        <v>261.86</v>
      </c>
      <c r="B437" s="2" t="n">
        <v>11.81</v>
      </c>
      <c r="C437" s="2" t="n">
        <v>0.102</v>
      </c>
      <c r="D437" s="2" t="n">
        <v>0.13</v>
      </c>
      <c r="E437" s="2" t="n">
        <v>0</v>
      </c>
      <c r="F437" s="2" t="n">
        <v>76</v>
      </c>
      <c r="G437" s="2" t="n">
        <v>400</v>
      </c>
      <c r="H437" s="2" t="n">
        <v>400</v>
      </c>
      <c r="I437" s="2" t="n">
        <v>30</v>
      </c>
      <c r="J437" s="2"/>
      <c r="K437" s="2" t="n">
        <v>1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1</v>
      </c>
      <c r="Q437" s="2" t="n">
        <v>1</v>
      </c>
      <c r="R437" s="2" t="n">
        <v>0</v>
      </c>
      <c r="S437" s="2" t="n">
        <f aca="false">A438-A437</f>
        <v>0.199999999999989</v>
      </c>
      <c r="T437" s="2" t="n">
        <f aca="false">C437+Summary!$C$8*D437</f>
        <v>0.112595</v>
      </c>
      <c r="U437" s="2" t="n">
        <f aca="false">B437*T437</f>
        <v>1.32974695</v>
      </c>
      <c r="V437" s="2" t="n">
        <f aca="false">B437*C437</f>
        <v>1.20462</v>
      </c>
    </row>
    <row r="438" customFormat="false" ht="15" hidden="false" customHeight="false" outlineLevel="0" collapsed="false">
      <c r="A438" s="2" t="n">
        <v>262.06</v>
      </c>
      <c r="B438" s="2" t="n">
        <v>11.814</v>
      </c>
      <c r="C438" s="2" t="n">
        <v>0.1</v>
      </c>
      <c r="D438" s="2" t="n">
        <v>0.128</v>
      </c>
      <c r="E438" s="2" t="n">
        <v>0</v>
      </c>
      <c r="F438" s="2" t="n">
        <v>76</v>
      </c>
      <c r="G438" s="2" t="n">
        <v>400</v>
      </c>
      <c r="H438" s="2" t="n">
        <v>400</v>
      </c>
      <c r="I438" s="2" t="n">
        <v>30</v>
      </c>
      <c r="J438" s="2"/>
      <c r="K438" s="2" t="n">
        <v>1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1</v>
      </c>
      <c r="Q438" s="2" t="n">
        <v>1</v>
      </c>
      <c r="R438" s="2" t="n">
        <v>0</v>
      </c>
      <c r="S438" s="2" t="n">
        <f aca="false">A439-A438</f>
        <v>0.199999999999989</v>
      </c>
      <c r="T438" s="2" t="n">
        <f aca="false">C438+Summary!$C$8*D438</f>
        <v>0.110432</v>
      </c>
      <c r="U438" s="2" t="n">
        <f aca="false">B438*T438</f>
        <v>1.304643648</v>
      </c>
      <c r="V438" s="2" t="n">
        <f aca="false">B438*C438</f>
        <v>1.1814</v>
      </c>
    </row>
    <row r="439" customFormat="false" ht="15" hidden="false" customHeight="false" outlineLevel="0" collapsed="false">
      <c r="A439" s="2" t="n">
        <v>262.26</v>
      </c>
      <c r="B439" s="2" t="n">
        <v>11.814</v>
      </c>
      <c r="C439" s="2" t="n">
        <v>0.101</v>
      </c>
      <c r="D439" s="2" t="n">
        <v>0.129</v>
      </c>
      <c r="E439" s="2" t="n">
        <v>0</v>
      </c>
      <c r="F439" s="2" t="n">
        <v>76</v>
      </c>
      <c r="G439" s="2" t="n">
        <v>400</v>
      </c>
      <c r="H439" s="2" t="n">
        <v>400</v>
      </c>
      <c r="I439" s="2" t="n">
        <v>31</v>
      </c>
      <c r="J439" s="2"/>
      <c r="K439" s="2" t="n">
        <v>1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1</v>
      </c>
      <c r="Q439" s="2" t="n">
        <v>1</v>
      </c>
      <c r="R439" s="2" t="n">
        <v>0</v>
      </c>
      <c r="S439" s="2" t="n">
        <f aca="false">A440-A439</f>
        <v>0.199999999999989</v>
      </c>
      <c r="T439" s="2" t="n">
        <f aca="false">C439+Summary!$C$8*D439</f>
        <v>0.1115135</v>
      </c>
      <c r="U439" s="2" t="n">
        <f aca="false">B439*T439</f>
        <v>1.317420489</v>
      </c>
      <c r="V439" s="2" t="n">
        <f aca="false">B439*C439</f>
        <v>1.193214</v>
      </c>
    </row>
    <row r="440" customFormat="false" ht="15" hidden="false" customHeight="false" outlineLevel="0" collapsed="false">
      <c r="A440" s="2" t="n">
        <v>262.46</v>
      </c>
      <c r="B440" s="2" t="n">
        <v>11.81</v>
      </c>
      <c r="C440" s="2" t="n">
        <v>0.101</v>
      </c>
      <c r="D440" s="2" t="n">
        <v>0.128</v>
      </c>
      <c r="E440" s="2" t="n">
        <v>0</v>
      </c>
      <c r="F440" s="2" t="n">
        <v>76</v>
      </c>
      <c r="G440" s="2" t="n">
        <v>400</v>
      </c>
      <c r="H440" s="2" t="n">
        <v>400</v>
      </c>
      <c r="I440" s="2" t="n">
        <v>30</v>
      </c>
      <c r="J440" s="2"/>
      <c r="K440" s="2" t="n">
        <v>1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1</v>
      </c>
      <c r="Q440" s="2" t="n">
        <v>1</v>
      </c>
      <c r="R440" s="2" t="n">
        <v>0</v>
      </c>
      <c r="S440" s="2" t="n">
        <f aca="false">A441-A440</f>
        <v>0.200000000000045</v>
      </c>
      <c r="T440" s="2" t="n">
        <f aca="false">C440+Summary!$C$8*D440</f>
        <v>0.111432</v>
      </c>
      <c r="U440" s="2" t="n">
        <f aca="false">B440*T440</f>
        <v>1.31601192</v>
      </c>
      <c r="V440" s="2" t="n">
        <f aca="false">B440*C440</f>
        <v>1.19281</v>
      </c>
    </row>
    <row r="441" customFormat="false" ht="15" hidden="false" customHeight="false" outlineLevel="0" collapsed="false">
      <c r="A441" s="2" t="n">
        <v>262.66</v>
      </c>
      <c r="B441" s="2" t="n">
        <v>11.801</v>
      </c>
      <c r="C441" s="2" t="n">
        <v>0.134</v>
      </c>
      <c r="D441" s="2" t="n">
        <v>0.133</v>
      </c>
      <c r="E441" s="2" t="n">
        <v>0</v>
      </c>
      <c r="F441" s="2" t="n">
        <v>76</v>
      </c>
      <c r="G441" s="2" t="n">
        <v>400</v>
      </c>
      <c r="H441" s="2" t="n">
        <v>400</v>
      </c>
      <c r="I441" s="2" t="n">
        <v>30</v>
      </c>
      <c r="J441" s="2"/>
      <c r="K441" s="2" t="n">
        <v>1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1</v>
      </c>
      <c r="Q441" s="2" t="n">
        <v>1</v>
      </c>
      <c r="R441" s="2" t="n">
        <v>0</v>
      </c>
      <c r="S441" s="2" t="n">
        <f aca="false">A442-A441</f>
        <v>0.199999999999989</v>
      </c>
      <c r="T441" s="2" t="n">
        <f aca="false">C441+Summary!$C$8*D441</f>
        <v>0.1448395</v>
      </c>
      <c r="U441" s="2" t="n">
        <f aca="false">B441*T441</f>
        <v>1.7092509395</v>
      </c>
      <c r="V441" s="2" t="n">
        <f aca="false">B441*C441</f>
        <v>1.581334</v>
      </c>
    </row>
    <row r="442" customFormat="false" ht="15" hidden="false" customHeight="false" outlineLevel="0" collapsed="false">
      <c r="A442" s="2" t="n">
        <v>262.86</v>
      </c>
      <c r="B442" s="2" t="n">
        <v>11.81</v>
      </c>
      <c r="C442" s="2" t="n">
        <v>0.102</v>
      </c>
      <c r="D442" s="2" t="n">
        <v>0.131</v>
      </c>
      <c r="E442" s="2" t="n">
        <v>0</v>
      </c>
      <c r="F442" s="2" t="n">
        <v>76</v>
      </c>
      <c r="G442" s="2" t="n">
        <v>400</v>
      </c>
      <c r="H442" s="2" t="n">
        <v>400</v>
      </c>
      <c r="I442" s="2" t="n">
        <v>30</v>
      </c>
      <c r="J442" s="2"/>
      <c r="K442" s="2" t="n">
        <v>1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1</v>
      </c>
      <c r="Q442" s="2" t="n">
        <v>1</v>
      </c>
      <c r="R442" s="2" t="n">
        <v>0</v>
      </c>
      <c r="S442" s="2" t="n">
        <f aca="false">A443-A442</f>
        <v>0.199999999999989</v>
      </c>
      <c r="T442" s="2" t="n">
        <f aca="false">C442+Summary!$C$8*D442</f>
        <v>0.1126765</v>
      </c>
      <c r="U442" s="2" t="n">
        <f aca="false">B442*T442</f>
        <v>1.330709465</v>
      </c>
      <c r="V442" s="2" t="n">
        <f aca="false">B442*C442</f>
        <v>1.20462</v>
      </c>
    </row>
    <row r="443" customFormat="false" ht="15" hidden="false" customHeight="false" outlineLevel="0" collapsed="false">
      <c r="A443" s="2" t="n">
        <v>263.06</v>
      </c>
      <c r="B443" s="2" t="n">
        <v>11.81</v>
      </c>
      <c r="C443" s="2" t="n">
        <v>0.102</v>
      </c>
      <c r="D443" s="2" t="n">
        <v>0.128</v>
      </c>
      <c r="E443" s="2" t="n">
        <v>0</v>
      </c>
      <c r="F443" s="2" t="n">
        <v>76</v>
      </c>
      <c r="G443" s="2" t="n">
        <v>400</v>
      </c>
      <c r="H443" s="2" t="n">
        <v>400</v>
      </c>
      <c r="I443" s="2" t="n">
        <v>30</v>
      </c>
      <c r="J443" s="2"/>
      <c r="K443" s="2" t="n">
        <v>1</v>
      </c>
      <c r="L443" s="2" t="n">
        <v>1</v>
      </c>
      <c r="M443" s="2" t="n">
        <v>0</v>
      </c>
      <c r="N443" s="2" t="n">
        <v>0</v>
      </c>
      <c r="O443" s="2" t="n">
        <v>0</v>
      </c>
      <c r="P443" s="2" t="n">
        <v>1</v>
      </c>
      <c r="Q443" s="2" t="n">
        <v>1</v>
      </c>
      <c r="R443" s="2" t="n">
        <v>0</v>
      </c>
      <c r="S443" s="2" t="n">
        <f aca="false">A444-A443</f>
        <v>0.199999999999989</v>
      </c>
      <c r="T443" s="2" t="n">
        <f aca="false">C443+Summary!$C$8*D443</f>
        <v>0.112432</v>
      </c>
      <c r="U443" s="2" t="n">
        <f aca="false">B443*T443</f>
        <v>1.32782192</v>
      </c>
      <c r="V443" s="2" t="n">
        <f aca="false">B443*C443</f>
        <v>1.20462</v>
      </c>
      <c r="W443" s="2" t="s">
        <v>74</v>
      </c>
      <c r="X443" s="2" t="s">
        <v>11</v>
      </c>
    </row>
    <row r="444" customFormat="false" ht="15" hidden="false" customHeight="false" outlineLevel="0" collapsed="false">
      <c r="A444" s="2" t="n">
        <v>263.26</v>
      </c>
      <c r="B444" s="2" t="n">
        <v>11.746</v>
      </c>
      <c r="C444" s="2" t="n">
        <v>0.306</v>
      </c>
      <c r="D444" s="2" t="n">
        <v>0.13</v>
      </c>
      <c r="E444" s="2" t="n">
        <v>0</v>
      </c>
      <c r="F444" s="2" t="n">
        <v>76</v>
      </c>
      <c r="G444" s="2" t="n">
        <v>400</v>
      </c>
      <c r="H444" s="2" t="n">
        <v>400</v>
      </c>
      <c r="I444" s="2" t="n">
        <v>30</v>
      </c>
      <c r="J444" s="2"/>
      <c r="K444" s="2" t="n">
        <v>1</v>
      </c>
      <c r="L444" s="2" t="n">
        <v>1</v>
      </c>
      <c r="M444" s="2" t="n">
        <v>0</v>
      </c>
      <c r="N444" s="2" t="n">
        <v>0</v>
      </c>
      <c r="O444" s="2" t="n">
        <v>0</v>
      </c>
      <c r="P444" s="2" t="n">
        <v>1</v>
      </c>
      <c r="Q444" s="2" t="n">
        <v>1</v>
      </c>
      <c r="R444" s="2" t="n">
        <v>0</v>
      </c>
      <c r="S444" s="2" t="n">
        <f aca="false">A445-A444</f>
        <v>0.210000000000036</v>
      </c>
      <c r="T444" s="2" t="n">
        <f aca="false">C444+Summary!$C$8*D444</f>
        <v>0.316595</v>
      </c>
      <c r="U444" s="2" t="n">
        <f aca="false">B444*T444</f>
        <v>3.71872487</v>
      </c>
      <c r="V444" s="2" t="n">
        <f aca="false">B444*C444</f>
        <v>3.594276</v>
      </c>
      <c r="W444" s="2" t="s">
        <v>74</v>
      </c>
      <c r="X444" s="2" t="s">
        <v>11</v>
      </c>
    </row>
    <row r="445" customFormat="false" ht="15" hidden="false" customHeight="false" outlineLevel="0" collapsed="false">
      <c r="A445" s="2" t="n">
        <v>263.47</v>
      </c>
      <c r="B445" s="2" t="n">
        <v>11.722</v>
      </c>
      <c r="C445" s="2" t="n">
        <v>0.388</v>
      </c>
      <c r="D445" s="2" t="n">
        <v>0.13</v>
      </c>
      <c r="E445" s="2" t="n">
        <v>0.013</v>
      </c>
      <c r="F445" s="2" t="n">
        <v>76</v>
      </c>
      <c r="G445" s="2" t="n">
        <v>400</v>
      </c>
      <c r="H445" s="2" t="n">
        <v>400</v>
      </c>
      <c r="I445" s="2" t="n">
        <v>30</v>
      </c>
      <c r="J445" s="2"/>
      <c r="K445" s="2" t="n">
        <v>1</v>
      </c>
      <c r="L445" s="2" t="n">
        <v>1</v>
      </c>
      <c r="M445" s="2" t="n">
        <v>0</v>
      </c>
      <c r="N445" s="2" t="n">
        <v>0</v>
      </c>
      <c r="O445" s="2" t="n">
        <v>0</v>
      </c>
      <c r="P445" s="2" t="n">
        <v>1</v>
      </c>
      <c r="Q445" s="2" t="n">
        <v>1</v>
      </c>
      <c r="R445" s="2" t="n">
        <v>0</v>
      </c>
      <c r="S445" s="2" t="n">
        <f aca="false">A446-A445</f>
        <v>0.199999999999989</v>
      </c>
      <c r="T445" s="2" t="n">
        <f aca="false">C445+Summary!$C$8*D445</f>
        <v>0.398595</v>
      </c>
      <c r="U445" s="2" t="n">
        <f aca="false">B445*T445</f>
        <v>4.67233059</v>
      </c>
      <c r="V445" s="2" t="n">
        <f aca="false">B445*C445</f>
        <v>4.548136</v>
      </c>
      <c r="W445" s="2" t="s">
        <v>74</v>
      </c>
      <c r="X445" s="2" t="s">
        <v>11</v>
      </c>
    </row>
    <row r="446" customFormat="false" ht="15" hidden="false" customHeight="false" outlineLevel="0" collapsed="false">
      <c r="A446" s="2" t="n">
        <v>263.67</v>
      </c>
      <c r="B446" s="2" t="n">
        <v>11.699</v>
      </c>
      <c r="C446" s="2" t="n">
        <v>0.441</v>
      </c>
      <c r="D446" s="2" t="n">
        <v>0.131</v>
      </c>
      <c r="E446" s="2" t="n">
        <v>0</v>
      </c>
      <c r="F446" s="2" t="n">
        <v>76</v>
      </c>
      <c r="G446" s="2" t="n">
        <v>400</v>
      </c>
      <c r="H446" s="2" t="n">
        <v>400</v>
      </c>
      <c r="I446" s="2" t="n">
        <v>31</v>
      </c>
      <c r="J446" s="2"/>
      <c r="K446" s="2" t="n">
        <v>1</v>
      </c>
      <c r="L446" s="2" t="n">
        <v>1</v>
      </c>
      <c r="M446" s="2" t="n">
        <v>0</v>
      </c>
      <c r="N446" s="2" t="n">
        <v>0</v>
      </c>
      <c r="O446" s="2" t="n">
        <v>0</v>
      </c>
      <c r="P446" s="2" t="n">
        <v>1</v>
      </c>
      <c r="Q446" s="2" t="n">
        <v>1</v>
      </c>
      <c r="R446" s="2" t="n">
        <v>0</v>
      </c>
      <c r="S446" s="2" t="n">
        <f aca="false">A447-A446</f>
        <v>0.199999999999989</v>
      </c>
      <c r="T446" s="2" t="n">
        <f aca="false">C446+Summary!$C$8*D446</f>
        <v>0.4516765</v>
      </c>
      <c r="U446" s="2" t="n">
        <f aca="false">B446*T446</f>
        <v>5.2841633735</v>
      </c>
      <c r="V446" s="2" t="n">
        <f aca="false">B446*C446</f>
        <v>5.159259</v>
      </c>
      <c r="W446" s="2" t="s">
        <v>74</v>
      </c>
      <c r="X446" s="2" t="s">
        <v>11</v>
      </c>
    </row>
    <row r="447" customFormat="false" ht="15" hidden="false" customHeight="false" outlineLevel="0" collapsed="false">
      <c r="A447" s="2" t="n">
        <v>263.87</v>
      </c>
      <c r="B447" s="2" t="n">
        <v>11.657</v>
      </c>
      <c r="C447" s="2" t="n">
        <v>0.539</v>
      </c>
      <c r="D447" s="2" t="n">
        <v>0.121</v>
      </c>
      <c r="E447" s="2" t="n">
        <v>0.095</v>
      </c>
      <c r="F447" s="2" t="n">
        <v>76</v>
      </c>
      <c r="G447" s="2" t="n">
        <v>400</v>
      </c>
      <c r="H447" s="2" t="n">
        <v>18</v>
      </c>
      <c r="I447" s="2" t="n">
        <v>400</v>
      </c>
      <c r="J447" s="2"/>
      <c r="K447" s="2" t="n">
        <v>1</v>
      </c>
      <c r="L447" s="2" t="n">
        <v>1</v>
      </c>
      <c r="M447" s="2" t="n">
        <v>0</v>
      </c>
      <c r="N447" s="2" t="n">
        <v>0</v>
      </c>
      <c r="O447" s="2" t="n">
        <v>0</v>
      </c>
      <c r="P447" s="2" t="n">
        <v>1</v>
      </c>
      <c r="Q447" s="2" t="n">
        <v>1</v>
      </c>
      <c r="R447" s="2" t="n">
        <v>0</v>
      </c>
      <c r="S447" s="2" t="n">
        <f aca="false">A448-A447</f>
        <v>0.20999999999998</v>
      </c>
      <c r="T447" s="2" t="n">
        <f aca="false">C447+Summary!$C$8*D447</f>
        <v>0.5488615</v>
      </c>
      <c r="U447" s="2" t="n">
        <f aca="false">B447*T447</f>
        <v>6.3980785055</v>
      </c>
      <c r="V447" s="2" t="n">
        <f aca="false">B447*C447</f>
        <v>6.283123</v>
      </c>
      <c r="W447" s="2" t="s">
        <v>74</v>
      </c>
      <c r="X447" s="2" t="s">
        <v>11</v>
      </c>
    </row>
    <row r="448" customFormat="false" ht="15" hidden="false" customHeight="false" outlineLevel="0" collapsed="false">
      <c r="A448" s="2" t="n">
        <v>264.08</v>
      </c>
      <c r="B448" s="2" t="n">
        <v>11.597</v>
      </c>
      <c r="C448" s="2" t="n">
        <v>0.85</v>
      </c>
      <c r="D448" s="2" t="n">
        <v>0.118</v>
      </c>
      <c r="E448" s="2" t="n">
        <v>0.095</v>
      </c>
      <c r="F448" s="2" t="n">
        <v>76</v>
      </c>
      <c r="G448" s="2" t="n">
        <v>400</v>
      </c>
      <c r="H448" s="2" t="n">
        <v>400</v>
      </c>
      <c r="I448" s="2" t="n">
        <v>400</v>
      </c>
      <c r="J448" s="2"/>
      <c r="K448" s="2" t="n">
        <v>1</v>
      </c>
      <c r="L448" s="2" t="n">
        <v>1</v>
      </c>
      <c r="M448" s="2" t="n">
        <v>0</v>
      </c>
      <c r="N448" s="2" t="n">
        <v>0</v>
      </c>
      <c r="O448" s="2" t="n">
        <v>0</v>
      </c>
      <c r="P448" s="2" t="n">
        <v>1</v>
      </c>
      <c r="Q448" s="2" t="n">
        <v>1</v>
      </c>
      <c r="R448" s="2" t="n">
        <v>0</v>
      </c>
      <c r="S448" s="2" t="n">
        <f aca="false">A449-A448</f>
        <v>0.199999999999989</v>
      </c>
      <c r="T448" s="2" t="n">
        <f aca="false">C448+Summary!$C$8*D448</f>
        <v>0.859617</v>
      </c>
      <c r="U448" s="2" t="n">
        <f aca="false">B448*T448</f>
        <v>9.968978349</v>
      </c>
      <c r="V448" s="2" t="n">
        <f aca="false">B448*C448</f>
        <v>9.85745</v>
      </c>
      <c r="W448" s="2" t="s">
        <v>74</v>
      </c>
      <c r="X448" s="2" t="s">
        <v>11</v>
      </c>
    </row>
    <row r="449" customFormat="false" ht="15" hidden="false" customHeight="false" outlineLevel="0" collapsed="false">
      <c r="A449" s="2" t="n">
        <v>264.28</v>
      </c>
      <c r="B449" s="2" t="n">
        <v>11.642</v>
      </c>
      <c r="C449" s="2" t="n">
        <v>0.555</v>
      </c>
      <c r="D449" s="2" t="n">
        <v>0.135</v>
      </c>
      <c r="E449" s="2" t="n">
        <v>0.204</v>
      </c>
      <c r="F449" s="2" t="n">
        <v>76</v>
      </c>
      <c r="G449" s="2" t="n">
        <v>400</v>
      </c>
      <c r="H449" s="2" t="n">
        <v>400</v>
      </c>
      <c r="I449" s="2" t="n">
        <v>400</v>
      </c>
      <c r="J449" s="2"/>
      <c r="K449" s="2" t="n">
        <v>1</v>
      </c>
      <c r="L449" s="2" t="n">
        <v>1</v>
      </c>
      <c r="M449" s="2" t="n">
        <v>0</v>
      </c>
      <c r="N449" s="2" t="n">
        <v>0</v>
      </c>
      <c r="O449" s="2" t="n">
        <v>0</v>
      </c>
      <c r="P449" s="2" t="n">
        <v>1</v>
      </c>
      <c r="Q449" s="2" t="n">
        <v>1</v>
      </c>
      <c r="R449" s="2" t="n">
        <v>0</v>
      </c>
      <c r="S449" s="2" t="n">
        <f aca="false">A450-A449</f>
        <v>0.200000000000045</v>
      </c>
      <c r="T449" s="2" t="n">
        <f aca="false">C449+Summary!$C$8*D449</f>
        <v>0.5660025</v>
      </c>
      <c r="U449" s="2" t="n">
        <f aca="false">B449*T449</f>
        <v>6.589401105</v>
      </c>
      <c r="V449" s="2" t="n">
        <f aca="false">B449*C449</f>
        <v>6.46131</v>
      </c>
      <c r="W449" s="2" t="s">
        <v>74</v>
      </c>
      <c r="X449" s="2" t="s">
        <v>11</v>
      </c>
    </row>
    <row r="450" customFormat="false" ht="15" hidden="false" customHeight="false" outlineLevel="0" collapsed="false">
      <c r="A450" s="2" t="n">
        <v>264.48</v>
      </c>
      <c r="B450" s="2" t="n">
        <v>11.69</v>
      </c>
      <c r="C450" s="2" t="n">
        <v>0.558</v>
      </c>
      <c r="D450" s="2" t="n">
        <v>0.149</v>
      </c>
      <c r="E450" s="2" t="n">
        <v>0.585</v>
      </c>
      <c r="F450" s="2" t="n">
        <v>76</v>
      </c>
      <c r="G450" s="2" t="n">
        <v>400</v>
      </c>
      <c r="H450" s="2" t="n">
        <v>400</v>
      </c>
      <c r="I450" s="2" t="n">
        <v>400</v>
      </c>
      <c r="J450" s="2"/>
      <c r="K450" s="2" t="n">
        <v>1</v>
      </c>
      <c r="L450" s="2" t="n">
        <v>1</v>
      </c>
      <c r="M450" s="2" t="n">
        <v>0</v>
      </c>
      <c r="N450" s="2" t="n">
        <v>0</v>
      </c>
      <c r="O450" s="2" t="n">
        <v>0</v>
      </c>
      <c r="P450" s="2" t="n">
        <v>1</v>
      </c>
      <c r="Q450" s="2" t="n">
        <v>1</v>
      </c>
      <c r="R450" s="2" t="n">
        <v>0</v>
      </c>
      <c r="S450" s="2" t="n">
        <f aca="false">A451-A450</f>
        <v>0.199999999999989</v>
      </c>
      <c r="T450" s="2" t="n">
        <f aca="false">C450+Summary!$C$8*D450</f>
        <v>0.5701435</v>
      </c>
      <c r="U450" s="2" t="n">
        <f aca="false">B450*T450</f>
        <v>6.664977515</v>
      </c>
      <c r="V450" s="2" t="n">
        <f aca="false">B450*C450</f>
        <v>6.52302</v>
      </c>
      <c r="W450" s="2" t="s">
        <v>74</v>
      </c>
      <c r="X450" s="2" t="s">
        <v>11</v>
      </c>
    </row>
    <row r="451" customFormat="false" ht="15" hidden="false" customHeight="false" outlineLevel="0" collapsed="false">
      <c r="A451" s="2" t="n">
        <v>264.68</v>
      </c>
      <c r="B451" s="2" t="n">
        <v>11.697</v>
      </c>
      <c r="C451" s="2" t="n">
        <v>0.472</v>
      </c>
      <c r="D451" s="2" t="n">
        <v>0.192</v>
      </c>
      <c r="E451" s="2" t="n">
        <v>0.68</v>
      </c>
      <c r="F451" s="2" t="n">
        <v>76</v>
      </c>
      <c r="G451" s="2" t="n">
        <v>400</v>
      </c>
      <c r="H451" s="2" t="n">
        <v>400</v>
      </c>
      <c r="I451" s="2" t="n">
        <v>46</v>
      </c>
      <c r="J451" s="2"/>
      <c r="K451" s="2" t="n">
        <v>1</v>
      </c>
      <c r="L451" s="2" t="n">
        <v>1</v>
      </c>
      <c r="M451" s="2" t="n">
        <v>0</v>
      </c>
      <c r="N451" s="2" t="n">
        <v>0</v>
      </c>
      <c r="O451" s="2" t="n">
        <v>0</v>
      </c>
      <c r="P451" s="2" t="n">
        <v>1</v>
      </c>
      <c r="Q451" s="2" t="n">
        <v>1</v>
      </c>
      <c r="R451" s="2" t="n">
        <v>0</v>
      </c>
      <c r="S451" s="2" t="n">
        <f aca="false">A452-A451</f>
        <v>0.199999999999989</v>
      </c>
      <c r="T451" s="2" t="n">
        <f aca="false">C451+Summary!$C$8*D451</f>
        <v>0.487648</v>
      </c>
      <c r="U451" s="2" t="n">
        <f aca="false">B451*T451</f>
        <v>5.704018656</v>
      </c>
      <c r="V451" s="2" t="n">
        <f aca="false">B451*C451</f>
        <v>5.520984</v>
      </c>
      <c r="W451" s="2" t="s">
        <v>74</v>
      </c>
      <c r="X451" s="2" t="s">
        <v>11</v>
      </c>
    </row>
    <row r="452" customFormat="false" ht="15" hidden="false" customHeight="false" outlineLevel="0" collapsed="false">
      <c r="A452" s="2" t="n">
        <v>264.88</v>
      </c>
      <c r="B452" s="2" t="n">
        <v>11.662</v>
      </c>
      <c r="C452" s="2" t="n">
        <v>0.552</v>
      </c>
      <c r="D452" s="2" t="n">
        <v>0.206</v>
      </c>
      <c r="E452" s="2" t="n">
        <v>0.517</v>
      </c>
      <c r="F452" s="2" t="n">
        <v>76</v>
      </c>
      <c r="G452" s="2" t="n">
        <v>31</v>
      </c>
      <c r="H452" s="2" t="n">
        <v>400</v>
      </c>
      <c r="I452" s="2" t="n">
        <v>400</v>
      </c>
      <c r="J452" s="2"/>
      <c r="K452" s="2" t="n">
        <v>1</v>
      </c>
      <c r="L452" s="2" t="n">
        <v>1</v>
      </c>
      <c r="M452" s="2" t="n">
        <v>0</v>
      </c>
      <c r="N452" s="2" t="n">
        <v>0</v>
      </c>
      <c r="O452" s="2" t="n">
        <v>0</v>
      </c>
      <c r="P452" s="2" t="n">
        <v>1</v>
      </c>
      <c r="Q452" s="2" t="n">
        <v>1</v>
      </c>
      <c r="R452" s="2" t="n">
        <v>0</v>
      </c>
      <c r="S452" s="2" t="n">
        <f aca="false">A453-A452</f>
        <v>0.199999999999989</v>
      </c>
      <c r="T452" s="2" t="n">
        <f aca="false">C452+Summary!$C$8*D452</f>
        <v>0.568789</v>
      </c>
      <c r="U452" s="2" t="n">
        <f aca="false">B452*T452</f>
        <v>6.633217318</v>
      </c>
      <c r="V452" s="2" t="n">
        <f aca="false">B452*C452</f>
        <v>6.437424</v>
      </c>
      <c r="W452" s="2" t="s">
        <v>74</v>
      </c>
      <c r="X452" s="2" t="s">
        <v>11</v>
      </c>
    </row>
    <row r="453" customFormat="false" ht="15" hidden="false" customHeight="false" outlineLevel="0" collapsed="false">
      <c r="A453" s="2" t="n">
        <v>265.08</v>
      </c>
      <c r="B453" s="2" t="n">
        <v>11.662</v>
      </c>
      <c r="C453" s="2" t="n">
        <v>0.495</v>
      </c>
      <c r="D453" s="2" t="n">
        <v>0.211</v>
      </c>
      <c r="E453" s="2" t="n">
        <v>0.517</v>
      </c>
      <c r="F453" s="2" t="n">
        <v>76</v>
      </c>
      <c r="G453" s="2" t="n">
        <v>400</v>
      </c>
      <c r="H453" s="2" t="n">
        <v>400</v>
      </c>
      <c r="I453" s="2" t="n">
        <v>400</v>
      </c>
      <c r="J453" s="2"/>
      <c r="K453" s="2" t="n">
        <v>1</v>
      </c>
      <c r="L453" s="2" t="n">
        <v>1</v>
      </c>
      <c r="M453" s="2" t="n">
        <v>0</v>
      </c>
      <c r="N453" s="2" t="n">
        <v>0</v>
      </c>
      <c r="O453" s="2" t="n">
        <v>0</v>
      </c>
      <c r="P453" s="2" t="n">
        <v>1</v>
      </c>
      <c r="Q453" s="2" t="n">
        <v>1</v>
      </c>
      <c r="R453" s="2" t="n">
        <v>0</v>
      </c>
      <c r="S453" s="2" t="n">
        <f aca="false">A454-A453</f>
        <v>0.199999999999989</v>
      </c>
      <c r="T453" s="2" t="n">
        <f aca="false">C453+Summary!$C$8*D453</f>
        <v>0.5121965</v>
      </c>
      <c r="U453" s="2" t="n">
        <f aca="false">B453*T453</f>
        <v>5.973235583</v>
      </c>
      <c r="V453" s="2" t="n">
        <f aca="false">B453*C453</f>
        <v>5.77269</v>
      </c>
      <c r="W453" s="2" t="s">
        <v>74</v>
      </c>
      <c r="X453" s="2" t="s">
        <v>11</v>
      </c>
    </row>
    <row r="454" customFormat="false" ht="15" hidden="false" customHeight="false" outlineLevel="0" collapsed="false">
      <c r="A454" s="2" t="n">
        <v>265.28</v>
      </c>
      <c r="B454" s="2" t="n">
        <v>11.675</v>
      </c>
      <c r="C454" s="2" t="n">
        <v>0.524</v>
      </c>
      <c r="D454" s="2" t="n">
        <v>0.248</v>
      </c>
      <c r="E454" s="2" t="n">
        <v>0.667</v>
      </c>
      <c r="F454" s="2" t="n">
        <v>76</v>
      </c>
      <c r="G454" s="2" t="n">
        <v>400</v>
      </c>
      <c r="H454" s="2" t="n">
        <v>400</v>
      </c>
      <c r="I454" s="2" t="n">
        <v>400</v>
      </c>
      <c r="J454" s="2"/>
      <c r="K454" s="2" t="n">
        <v>1</v>
      </c>
      <c r="L454" s="2" t="n">
        <v>1</v>
      </c>
      <c r="M454" s="2" t="n">
        <v>0</v>
      </c>
      <c r="N454" s="2" t="n">
        <v>0</v>
      </c>
      <c r="O454" s="2" t="n">
        <v>0</v>
      </c>
      <c r="P454" s="2" t="n">
        <v>1</v>
      </c>
      <c r="Q454" s="2" t="n">
        <v>1</v>
      </c>
      <c r="R454" s="2" t="n">
        <v>0</v>
      </c>
      <c r="S454" s="2" t="n">
        <f aca="false">A455-A454</f>
        <v>0.200000000000045</v>
      </c>
      <c r="T454" s="2" t="n">
        <f aca="false">C454+Summary!$C$8*D454</f>
        <v>0.544212</v>
      </c>
      <c r="U454" s="2" t="n">
        <f aca="false">B454*T454</f>
        <v>6.3536751</v>
      </c>
      <c r="V454" s="2" t="n">
        <f aca="false">B454*C454</f>
        <v>6.1177</v>
      </c>
      <c r="W454" s="2" t="s">
        <v>74</v>
      </c>
      <c r="X454" s="2" t="s">
        <v>11</v>
      </c>
    </row>
    <row r="455" customFormat="false" ht="15" hidden="false" customHeight="false" outlineLevel="0" collapsed="false">
      <c r="A455" s="2" t="n">
        <v>265.48</v>
      </c>
      <c r="B455" s="2" t="n">
        <v>11.676</v>
      </c>
      <c r="C455" s="2" t="n">
        <v>0.515</v>
      </c>
      <c r="D455" s="2" t="n">
        <v>0.258</v>
      </c>
      <c r="E455" s="2" t="n">
        <v>0.694</v>
      </c>
      <c r="F455" s="2" t="n">
        <v>76</v>
      </c>
      <c r="G455" s="2" t="n">
        <v>400</v>
      </c>
      <c r="H455" s="2" t="n">
        <v>400</v>
      </c>
      <c r="I455" s="2" t="n">
        <v>400</v>
      </c>
      <c r="J455" s="2"/>
      <c r="K455" s="2" t="n">
        <v>1</v>
      </c>
      <c r="L455" s="2" t="n">
        <v>1</v>
      </c>
      <c r="M455" s="2" t="n">
        <v>0</v>
      </c>
      <c r="N455" s="2" t="n">
        <v>0</v>
      </c>
      <c r="O455" s="2" t="n">
        <v>0</v>
      </c>
      <c r="P455" s="2" t="n">
        <v>1</v>
      </c>
      <c r="Q455" s="2" t="n">
        <v>1</v>
      </c>
      <c r="R455" s="2" t="n">
        <v>0</v>
      </c>
      <c r="S455" s="2" t="n">
        <f aca="false">A456-A455</f>
        <v>0.199999999999989</v>
      </c>
      <c r="T455" s="2" t="n">
        <f aca="false">C455+Summary!$C$8*D455</f>
        <v>0.536027</v>
      </c>
      <c r="U455" s="2" t="n">
        <f aca="false">B455*T455</f>
        <v>6.258651252</v>
      </c>
      <c r="V455" s="2" t="n">
        <f aca="false">B455*C455</f>
        <v>6.01314</v>
      </c>
      <c r="W455" s="2" t="s">
        <v>74</v>
      </c>
      <c r="X455" s="2" t="s">
        <v>11</v>
      </c>
    </row>
    <row r="456" customFormat="false" ht="15" hidden="false" customHeight="false" outlineLevel="0" collapsed="false">
      <c r="A456" s="2" t="n">
        <v>265.68</v>
      </c>
      <c r="B456" s="2" t="n">
        <v>11.679</v>
      </c>
      <c r="C456" s="2" t="n">
        <v>0.447</v>
      </c>
      <c r="D456" s="2" t="n">
        <v>0.255</v>
      </c>
      <c r="E456" s="2" t="n">
        <v>0.53</v>
      </c>
      <c r="F456" s="2" t="n">
        <v>76</v>
      </c>
      <c r="G456" s="2" t="n">
        <v>400</v>
      </c>
      <c r="H456" s="2" t="n">
        <v>400</v>
      </c>
      <c r="I456" s="2" t="n">
        <v>36</v>
      </c>
      <c r="J456" s="2"/>
      <c r="K456" s="2" t="n">
        <v>1</v>
      </c>
      <c r="L456" s="2" t="n">
        <v>1</v>
      </c>
      <c r="M456" s="2" t="n">
        <v>0</v>
      </c>
      <c r="N456" s="2" t="n">
        <v>0</v>
      </c>
      <c r="O456" s="2" t="n">
        <v>0</v>
      </c>
      <c r="P456" s="2" t="n">
        <v>1</v>
      </c>
      <c r="Q456" s="2" t="n">
        <v>1</v>
      </c>
      <c r="R456" s="2" t="n">
        <v>0</v>
      </c>
      <c r="S456" s="2" t="n">
        <f aca="false">A457-A456</f>
        <v>0.199999999999989</v>
      </c>
      <c r="T456" s="2" t="n">
        <f aca="false">C456+Summary!$C$8*D456</f>
        <v>0.4677825</v>
      </c>
      <c r="U456" s="2" t="n">
        <f aca="false">B456*T456</f>
        <v>5.4632318175</v>
      </c>
      <c r="V456" s="2" t="n">
        <f aca="false">B456*C456</f>
        <v>5.220513</v>
      </c>
      <c r="W456" s="2" t="s">
        <v>74</v>
      </c>
      <c r="X456" s="2" t="s">
        <v>11</v>
      </c>
    </row>
    <row r="457" customFormat="false" ht="15" hidden="false" customHeight="false" outlineLevel="0" collapsed="false">
      <c r="A457" s="2" t="n">
        <v>265.88</v>
      </c>
      <c r="B457" s="2" t="n">
        <v>11.784</v>
      </c>
      <c r="C457" s="2" t="n">
        <v>0.17</v>
      </c>
      <c r="D457" s="2" t="n">
        <v>3.732</v>
      </c>
      <c r="E457" s="2" t="n">
        <v>0.367</v>
      </c>
      <c r="F457" s="2" t="n">
        <v>76</v>
      </c>
      <c r="G457" s="2" t="n">
        <v>400</v>
      </c>
      <c r="H457" s="2" t="n">
        <v>25</v>
      </c>
      <c r="I457" s="2" t="n">
        <v>32</v>
      </c>
      <c r="J457" s="2"/>
      <c r="K457" s="2" t="n">
        <v>1</v>
      </c>
      <c r="L457" s="2" t="n">
        <v>1</v>
      </c>
      <c r="M457" s="2" t="n">
        <v>0</v>
      </c>
      <c r="N457" s="2" t="n">
        <v>0</v>
      </c>
      <c r="O457" s="2" t="n">
        <v>0</v>
      </c>
      <c r="P457" s="2" t="n">
        <v>1</v>
      </c>
      <c r="Q457" s="2" t="n">
        <v>1</v>
      </c>
      <c r="R457" s="2" t="n">
        <v>0</v>
      </c>
      <c r="S457" s="2" t="n">
        <f aca="false">A458-A457</f>
        <v>0.199999999999989</v>
      </c>
      <c r="T457" s="2" t="n">
        <f aca="false">C457+Summary!$C$8*D457</f>
        <v>0.474158</v>
      </c>
      <c r="U457" s="2" t="n">
        <f aca="false">B457*T457</f>
        <v>5.587477872</v>
      </c>
      <c r="V457" s="2" t="n">
        <f aca="false">B457*C457</f>
        <v>2.00328</v>
      </c>
      <c r="W457" s="2" t="s">
        <v>74</v>
      </c>
      <c r="X457" s="2" t="s">
        <v>11</v>
      </c>
    </row>
    <row r="458" customFormat="false" ht="15" hidden="false" customHeight="false" outlineLevel="0" collapsed="false">
      <c r="A458" s="2" t="n">
        <v>266.08</v>
      </c>
      <c r="B458" s="2" t="n">
        <v>11.723</v>
      </c>
      <c r="C458" s="2" t="n">
        <v>0.372</v>
      </c>
      <c r="D458" s="2" t="n">
        <v>1.722</v>
      </c>
      <c r="E458" s="2" t="n">
        <v>0.367</v>
      </c>
      <c r="F458" s="2" t="n">
        <v>76</v>
      </c>
      <c r="G458" s="2" t="n">
        <v>400</v>
      </c>
      <c r="H458" s="2" t="n">
        <v>400</v>
      </c>
      <c r="I458" s="2" t="n">
        <v>400</v>
      </c>
      <c r="J458" s="2"/>
      <c r="K458" s="2" t="n">
        <v>1</v>
      </c>
      <c r="L458" s="2" t="n">
        <v>1</v>
      </c>
      <c r="M458" s="2" t="n">
        <v>0</v>
      </c>
      <c r="N458" s="2" t="n">
        <v>0</v>
      </c>
      <c r="O458" s="2" t="n">
        <v>0</v>
      </c>
      <c r="P458" s="2" t="n">
        <v>1</v>
      </c>
      <c r="Q458" s="2" t="n">
        <v>1</v>
      </c>
      <c r="R458" s="2" t="n">
        <v>0</v>
      </c>
      <c r="S458" s="2" t="n">
        <f aca="false">A459-A458</f>
        <v>0.199999999999989</v>
      </c>
      <c r="T458" s="2" t="n">
        <f aca="false">C458+Summary!$C$8*D458</f>
        <v>0.512343</v>
      </c>
      <c r="U458" s="2" t="n">
        <f aca="false">B458*T458</f>
        <v>6.006196989</v>
      </c>
      <c r="V458" s="2" t="n">
        <f aca="false">B458*C458</f>
        <v>4.360956</v>
      </c>
      <c r="W458" s="2" t="s">
        <v>74</v>
      </c>
      <c r="X458" s="2" t="s">
        <v>11</v>
      </c>
    </row>
    <row r="459" customFormat="false" ht="15" hidden="false" customHeight="false" outlineLevel="0" collapsed="false">
      <c r="A459" s="2" t="n">
        <v>266.28</v>
      </c>
      <c r="B459" s="2" t="n">
        <v>11.682</v>
      </c>
      <c r="C459" s="2" t="n">
        <v>0.464</v>
      </c>
      <c r="D459" s="2" t="n">
        <v>1.313</v>
      </c>
      <c r="E459" s="2" t="n">
        <v>0.326</v>
      </c>
      <c r="F459" s="2" t="n">
        <v>76</v>
      </c>
      <c r="G459" s="2" t="n">
        <v>400</v>
      </c>
      <c r="H459" s="2" t="n">
        <v>400</v>
      </c>
      <c r="I459" s="2" t="n">
        <v>400</v>
      </c>
      <c r="J459" s="2"/>
      <c r="K459" s="2" t="n">
        <v>1</v>
      </c>
      <c r="L459" s="2" t="n">
        <v>1</v>
      </c>
      <c r="M459" s="2" t="n">
        <v>0</v>
      </c>
      <c r="N459" s="2" t="n">
        <v>0</v>
      </c>
      <c r="O459" s="2" t="n">
        <v>0</v>
      </c>
      <c r="P459" s="2" t="n">
        <v>1</v>
      </c>
      <c r="Q459" s="2" t="n">
        <v>1</v>
      </c>
      <c r="R459" s="2" t="n">
        <v>0</v>
      </c>
      <c r="S459" s="2" t="n">
        <f aca="false">A460-A459</f>
        <v>0.200000000000045</v>
      </c>
      <c r="T459" s="2" t="n">
        <f aca="false">C459+Summary!$C$8*D459</f>
        <v>0.5710095</v>
      </c>
      <c r="U459" s="2" t="n">
        <f aca="false">B459*T459</f>
        <v>6.670532979</v>
      </c>
      <c r="V459" s="2" t="n">
        <f aca="false">B459*C459</f>
        <v>5.420448</v>
      </c>
      <c r="W459" s="2" t="s">
        <v>74</v>
      </c>
      <c r="X459" s="2" t="s">
        <v>11</v>
      </c>
    </row>
    <row r="460" customFormat="false" ht="15" hidden="false" customHeight="false" outlineLevel="0" collapsed="false">
      <c r="A460" s="2" t="n">
        <v>266.48</v>
      </c>
      <c r="B460" s="2" t="n">
        <v>11.713</v>
      </c>
      <c r="C460" s="2" t="n">
        <v>0.442</v>
      </c>
      <c r="D460" s="2" t="n">
        <v>0.645</v>
      </c>
      <c r="E460" s="2" t="n">
        <v>0.353</v>
      </c>
      <c r="F460" s="2" t="n">
        <v>76</v>
      </c>
      <c r="G460" s="2" t="n">
        <v>400</v>
      </c>
      <c r="H460" s="2" t="n">
        <v>21</v>
      </c>
      <c r="I460" s="2" t="n">
        <v>400</v>
      </c>
      <c r="J460" s="2"/>
      <c r="K460" s="2" t="n">
        <v>1</v>
      </c>
      <c r="L460" s="2" t="n">
        <v>1</v>
      </c>
      <c r="M460" s="2" t="n">
        <v>0</v>
      </c>
      <c r="N460" s="2" t="n">
        <v>0</v>
      </c>
      <c r="O460" s="2" t="n">
        <v>0</v>
      </c>
      <c r="P460" s="2" t="n">
        <v>1</v>
      </c>
      <c r="Q460" s="2" t="n">
        <v>1</v>
      </c>
      <c r="R460" s="2" t="n">
        <v>0</v>
      </c>
      <c r="S460" s="2" t="n">
        <f aca="false">A461-A460</f>
        <v>0.199999999999989</v>
      </c>
      <c r="T460" s="2" t="n">
        <f aca="false">C460+Summary!$C$8*D460</f>
        <v>0.4945675</v>
      </c>
      <c r="U460" s="2" t="n">
        <f aca="false">B460*T460</f>
        <v>5.7928691275</v>
      </c>
      <c r="V460" s="2" t="n">
        <f aca="false">B460*C460</f>
        <v>5.177146</v>
      </c>
      <c r="W460" s="2" t="s">
        <v>74</v>
      </c>
      <c r="X460" s="2" t="s">
        <v>11</v>
      </c>
    </row>
    <row r="461" customFormat="false" ht="15" hidden="false" customHeight="false" outlineLevel="0" collapsed="false">
      <c r="A461" s="2" t="n">
        <v>266.68</v>
      </c>
      <c r="B461" s="2" t="n">
        <v>11.696</v>
      </c>
      <c r="C461" s="2" t="n">
        <v>0.48</v>
      </c>
      <c r="D461" s="2" t="n">
        <v>0.188</v>
      </c>
      <c r="E461" s="2" t="n">
        <v>0.49</v>
      </c>
      <c r="F461" s="2" t="n">
        <v>76</v>
      </c>
      <c r="G461" s="2" t="n">
        <v>400</v>
      </c>
      <c r="H461" s="2" t="n">
        <v>38</v>
      </c>
      <c r="I461" s="2" t="n">
        <v>400</v>
      </c>
      <c r="J461" s="2"/>
      <c r="K461" s="2" t="n">
        <v>1</v>
      </c>
      <c r="L461" s="2" t="n">
        <v>1</v>
      </c>
      <c r="M461" s="2" t="n">
        <v>0</v>
      </c>
      <c r="N461" s="2" t="n">
        <v>0</v>
      </c>
      <c r="O461" s="2" t="n">
        <v>0</v>
      </c>
      <c r="P461" s="2" t="n">
        <v>1</v>
      </c>
      <c r="Q461" s="2" t="n">
        <v>1</v>
      </c>
      <c r="R461" s="2" t="n">
        <v>0</v>
      </c>
      <c r="S461" s="2" t="n">
        <f aca="false">A462-A461</f>
        <v>0.199999999999989</v>
      </c>
      <c r="T461" s="2" t="n">
        <f aca="false">C461+Summary!$C$8*D461</f>
        <v>0.495322</v>
      </c>
      <c r="U461" s="2" t="n">
        <f aca="false">B461*T461</f>
        <v>5.793286112</v>
      </c>
      <c r="V461" s="2" t="n">
        <f aca="false">B461*C461</f>
        <v>5.61408</v>
      </c>
      <c r="W461" s="2" t="s">
        <v>74</v>
      </c>
      <c r="X461" s="2" t="s">
        <v>11</v>
      </c>
    </row>
    <row r="462" customFormat="false" ht="15" hidden="false" customHeight="false" outlineLevel="0" collapsed="false">
      <c r="A462" s="2" t="n">
        <v>266.88</v>
      </c>
      <c r="B462" s="2" t="n">
        <v>11.671</v>
      </c>
      <c r="C462" s="2" t="n">
        <v>0.519</v>
      </c>
      <c r="D462" s="2" t="n">
        <v>0.162</v>
      </c>
      <c r="E462" s="2" t="n">
        <v>0.68</v>
      </c>
      <c r="F462" s="2" t="n">
        <v>76</v>
      </c>
      <c r="G462" s="2" t="n">
        <v>400</v>
      </c>
      <c r="H462" s="2" t="n">
        <v>26</v>
      </c>
      <c r="I462" s="2" t="n">
        <v>400</v>
      </c>
      <c r="J462" s="2"/>
      <c r="K462" s="2" t="n">
        <v>1</v>
      </c>
      <c r="L462" s="2" t="n">
        <v>1</v>
      </c>
      <c r="M462" s="2" t="n">
        <v>0</v>
      </c>
      <c r="N462" s="2" t="n">
        <v>0</v>
      </c>
      <c r="O462" s="2" t="n">
        <v>0</v>
      </c>
      <c r="P462" s="2" t="n">
        <v>1</v>
      </c>
      <c r="Q462" s="2" t="n">
        <v>1</v>
      </c>
      <c r="R462" s="2" t="n">
        <v>0</v>
      </c>
      <c r="S462" s="2" t="n">
        <f aca="false">A463-A462</f>
        <v>0.199999999999989</v>
      </c>
      <c r="T462" s="2" t="n">
        <f aca="false">C462+Summary!$C$8*D462</f>
        <v>0.532203</v>
      </c>
      <c r="U462" s="2" t="n">
        <f aca="false">B462*T462</f>
        <v>6.211341213</v>
      </c>
      <c r="V462" s="2" t="n">
        <f aca="false">B462*C462</f>
        <v>6.057249</v>
      </c>
      <c r="W462" s="2" t="s">
        <v>74</v>
      </c>
      <c r="X462" s="2" t="s">
        <v>11</v>
      </c>
    </row>
    <row r="463" customFormat="false" ht="15" hidden="false" customHeight="false" outlineLevel="0" collapsed="false">
      <c r="A463" s="2" t="n">
        <v>267.08</v>
      </c>
      <c r="B463" s="2" t="n">
        <v>11.697</v>
      </c>
      <c r="C463" s="2" t="n">
        <v>0.454</v>
      </c>
      <c r="D463" s="2" t="n">
        <v>0.114</v>
      </c>
      <c r="E463" s="2" t="n">
        <v>0.68</v>
      </c>
      <c r="F463" s="2" t="n">
        <v>76</v>
      </c>
      <c r="G463" s="2" t="n">
        <v>400</v>
      </c>
      <c r="H463" s="2" t="n">
        <v>400</v>
      </c>
      <c r="I463" s="2" t="n">
        <v>400</v>
      </c>
      <c r="J463" s="2"/>
      <c r="K463" s="2" t="n">
        <v>1</v>
      </c>
      <c r="L463" s="2" t="n">
        <v>1</v>
      </c>
      <c r="M463" s="2" t="n">
        <v>0</v>
      </c>
      <c r="N463" s="2" t="n">
        <v>0</v>
      </c>
      <c r="O463" s="2" t="n">
        <v>0</v>
      </c>
      <c r="P463" s="2" t="n">
        <v>1</v>
      </c>
      <c r="Q463" s="2" t="n">
        <v>1</v>
      </c>
      <c r="R463" s="2" t="n">
        <v>0</v>
      </c>
      <c r="S463" s="2" t="n">
        <f aca="false">A464-A463</f>
        <v>0.199999999999989</v>
      </c>
      <c r="T463" s="2" t="n">
        <f aca="false">C463+Summary!$C$8*D463</f>
        <v>0.463291</v>
      </c>
      <c r="U463" s="2" t="n">
        <f aca="false">B463*T463</f>
        <v>5.419114827</v>
      </c>
      <c r="V463" s="2" t="n">
        <f aca="false">B463*C463</f>
        <v>5.310438</v>
      </c>
      <c r="W463" s="2" t="s">
        <v>74</v>
      </c>
      <c r="X463" s="2" t="s">
        <v>11</v>
      </c>
    </row>
    <row r="464" customFormat="false" ht="15" hidden="false" customHeight="false" outlineLevel="0" collapsed="false">
      <c r="A464" s="2" t="n">
        <v>267.28</v>
      </c>
      <c r="B464" s="2" t="n">
        <v>11.697</v>
      </c>
      <c r="C464" s="2" t="n">
        <v>0.52</v>
      </c>
      <c r="D464" s="2" t="n">
        <v>0.07</v>
      </c>
      <c r="E464" s="2" t="n">
        <v>0.721</v>
      </c>
      <c r="F464" s="2" t="n">
        <v>76</v>
      </c>
      <c r="G464" s="2" t="n">
        <v>42</v>
      </c>
      <c r="H464" s="2" t="n">
        <v>49</v>
      </c>
      <c r="I464" s="2" t="n">
        <v>22</v>
      </c>
      <c r="J464" s="2"/>
      <c r="K464" s="2" t="n">
        <v>1</v>
      </c>
      <c r="L464" s="2" t="n">
        <v>1</v>
      </c>
      <c r="M464" s="2" t="n">
        <v>0</v>
      </c>
      <c r="N464" s="2" t="n">
        <v>0</v>
      </c>
      <c r="O464" s="2" t="n">
        <v>0</v>
      </c>
      <c r="P464" s="2" t="n">
        <v>1</v>
      </c>
      <c r="Q464" s="2" t="n">
        <v>1</v>
      </c>
      <c r="R464" s="2" t="n">
        <v>0</v>
      </c>
      <c r="S464" s="2" t="n">
        <f aca="false">A465-A464</f>
        <v>0.200000000000045</v>
      </c>
      <c r="T464" s="2" t="n">
        <f aca="false">C464+Summary!$C$8*D464</f>
        <v>0.525705</v>
      </c>
      <c r="U464" s="2" t="n">
        <f aca="false">B464*T464</f>
        <v>6.149171385</v>
      </c>
      <c r="V464" s="2" t="n">
        <f aca="false">B464*C464</f>
        <v>6.08244</v>
      </c>
      <c r="W464" s="2" t="s">
        <v>74</v>
      </c>
      <c r="X464" s="2" t="s">
        <v>11</v>
      </c>
    </row>
    <row r="465" customFormat="false" ht="15" hidden="false" customHeight="false" outlineLevel="0" collapsed="false">
      <c r="A465" s="2" t="n">
        <v>267.48</v>
      </c>
      <c r="B465" s="2" t="n">
        <v>11.683</v>
      </c>
      <c r="C465" s="2" t="n">
        <v>0.52</v>
      </c>
      <c r="D465" s="2" t="n">
        <v>0.079</v>
      </c>
      <c r="E465" s="2" t="n">
        <v>0.68</v>
      </c>
      <c r="F465" s="2" t="n">
        <v>76</v>
      </c>
      <c r="G465" s="2" t="n">
        <v>400</v>
      </c>
      <c r="H465" s="2" t="n">
        <v>32</v>
      </c>
      <c r="I465" s="2" t="n">
        <v>400</v>
      </c>
      <c r="J465" s="2"/>
      <c r="K465" s="2" t="n">
        <v>1</v>
      </c>
      <c r="L465" s="2" t="n">
        <v>1</v>
      </c>
      <c r="M465" s="2" t="n">
        <v>0</v>
      </c>
      <c r="N465" s="2" t="n">
        <v>0</v>
      </c>
      <c r="O465" s="2" t="n">
        <v>0</v>
      </c>
      <c r="P465" s="2" t="n">
        <v>1</v>
      </c>
      <c r="Q465" s="2" t="n">
        <v>1</v>
      </c>
      <c r="R465" s="2" t="n">
        <v>0</v>
      </c>
      <c r="S465" s="2" t="n">
        <f aca="false">A466-A465</f>
        <v>0.199999999999989</v>
      </c>
      <c r="T465" s="2" t="n">
        <f aca="false">C465+Summary!$C$8*D465</f>
        <v>0.5264385</v>
      </c>
      <c r="U465" s="2" t="n">
        <f aca="false">B465*T465</f>
        <v>6.1503809955</v>
      </c>
      <c r="V465" s="2" t="n">
        <f aca="false">B465*C465</f>
        <v>6.07516</v>
      </c>
      <c r="W465" s="2" t="s">
        <v>74</v>
      </c>
      <c r="X465" s="2" t="s">
        <v>11</v>
      </c>
    </row>
    <row r="466" customFormat="false" ht="15" hidden="false" customHeight="false" outlineLevel="0" collapsed="false">
      <c r="A466" s="2" t="n">
        <v>267.68</v>
      </c>
      <c r="B466" s="2" t="n">
        <v>11.688</v>
      </c>
      <c r="C466" s="2" t="n">
        <v>0.487</v>
      </c>
      <c r="D466" s="2" t="n">
        <v>0.054</v>
      </c>
      <c r="E466" s="2" t="n">
        <v>0.707</v>
      </c>
      <c r="F466" s="2" t="n">
        <v>76</v>
      </c>
      <c r="G466" s="2" t="n">
        <v>400</v>
      </c>
      <c r="H466" s="2" t="n">
        <v>24</v>
      </c>
      <c r="I466" s="2" t="n">
        <v>400</v>
      </c>
      <c r="J466" s="2"/>
      <c r="K466" s="2" t="n">
        <v>1</v>
      </c>
      <c r="L466" s="2" t="n">
        <v>1</v>
      </c>
      <c r="M466" s="2" t="n">
        <v>0</v>
      </c>
      <c r="N466" s="2" t="n">
        <v>0</v>
      </c>
      <c r="O466" s="2" t="n">
        <v>0</v>
      </c>
      <c r="P466" s="2" t="n">
        <v>1</v>
      </c>
      <c r="Q466" s="2" t="n">
        <v>1</v>
      </c>
      <c r="R466" s="2" t="n">
        <v>0</v>
      </c>
      <c r="S466" s="2" t="n">
        <f aca="false">A467-A466</f>
        <v>0.199999999999989</v>
      </c>
      <c r="T466" s="2" t="n">
        <f aca="false">C466+Summary!$C$8*D466</f>
        <v>0.491401</v>
      </c>
      <c r="U466" s="2" t="n">
        <f aca="false">B466*T466</f>
        <v>5.743494888</v>
      </c>
      <c r="V466" s="2" t="n">
        <f aca="false">B466*C466</f>
        <v>5.692056</v>
      </c>
      <c r="W466" s="2" t="s">
        <v>74</v>
      </c>
      <c r="X466" s="2" t="s">
        <v>11</v>
      </c>
    </row>
    <row r="467" customFormat="false" ht="15" hidden="false" customHeight="false" outlineLevel="0" collapsed="false">
      <c r="A467" s="2" t="n">
        <v>267.88</v>
      </c>
      <c r="B467" s="2" t="n">
        <v>11.707</v>
      </c>
      <c r="C467" s="2" t="n">
        <v>0.41</v>
      </c>
      <c r="D467" s="2" t="n">
        <v>0.053</v>
      </c>
      <c r="E467" s="2" t="n">
        <v>0.612</v>
      </c>
      <c r="F467" s="2" t="n">
        <v>76</v>
      </c>
      <c r="G467" s="2" t="n">
        <v>400</v>
      </c>
      <c r="H467" s="2" t="n">
        <v>27</v>
      </c>
      <c r="I467" s="2" t="n">
        <v>19</v>
      </c>
      <c r="J467" s="2"/>
      <c r="K467" s="2" t="n">
        <v>1</v>
      </c>
      <c r="L467" s="2" t="n">
        <v>1</v>
      </c>
      <c r="M467" s="2" t="n">
        <v>0</v>
      </c>
      <c r="N467" s="2" t="n">
        <v>0</v>
      </c>
      <c r="O467" s="2" t="n">
        <v>0</v>
      </c>
      <c r="P467" s="2" t="n">
        <v>1</v>
      </c>
      <c r="Q467" s="2" t="n">
        <v>1</v>
      </c>
      <c r="R467" s="2" t="n">
        <v>0</v>
      </c>
      <c r="S467" s="2" t="n">
        <f aca="false">A468-A467</f>
        <v>0.199999999999989</v>
      </c>
      <c r="T467" s="2" t="n">
        <f aca="false">C467+Summary!$C$8*D467</f>
        <v>0.4143195</v>
      </c>
      <c r="U467" s="2" t="n">
        <f aca="false">B467*T467</f>
        <v>4.8504383865</v>
      </c>
      <c r="V467" s="2" t="n">
        <f aca="false">B467*C467</f>
        <v>4.79987</v>
      </c>
      <c r="W467" s="2" t="s">
        <v>74</v>
      </c>
      <c r="X467" s="2" t="s">
        <v>11</v>
      </c>
    </row>
    <row r="468" customFormat="false" ht="15" hidden="false" customHeight="false" outlineLevel="0" collapsed="false">
      <c r="A468" s="2" t="n">
        <v>268.08</v>
      </c>
      <c r="B468" s="2" t="n">
        <v>11.664</v>
      </c>
      <c r="C468" s="2" t="n">
        <v>0.508</v>
      </c>
      <c r="D468" s="2" t="n">
        <v>0.061</v>
      </c>
      <c r="E468" s="2" t="n">
        <v>0.612</v>
      </c>
      <c r="F468" s="2" t="n">
        <v>76</v>
      </c>
      <c r="G468" s="2" t="n">
        <v>400</v>
      </c>
      <c r="H468" s="2" t="n">
        <v>400</v>
      </c>
      <c r="I468" s="2" t="n">
        <v>400</v>
      </c>
      <c r="J468" s="2"/>
      <c r="K468" s="2" t="n">
        <v>1</v>
      </c>
      <c r="L468" s="2" t="n">
        <v>1</v>
      </c>
      <c r="M468" s="2" t="n">
        <v>0</v>
      </c>
      <c r="N468" s="2" t="n">
        <v>0</v>
      </c>
      <c r="O468" s="2" t="n">
        <v>0</v>
      </c>
      <c r="P468" s="2" t="n">
        <v>1</v>
      </c>
      <c r="Q468" s="2" t="n">
        <v>1</v>
      </c>
      <c r="R468" s="2" t="n">
        <v>0</v>
      </c>
      <c r="S468" s="2" t="n">
        <f aca="false">A469-A468</f>
        <v>0.199999999999989</v>
      </c>
      <c r="T468" s="2" t="n">
        <f aca="false">C468+Summary!$C$8*D468</f>
        <v>0.5129715</v>
      </c>
      <c r="U468" s="2" t="n">
        <f aca="false">B468*T468</f>
        <v>5.983299576</v>
      </c>
      <c r="V468" s="2" t="n">
        <f aca="false">B468*C468</f>
        <v>5.925312</v>
      </c>
      <c r="W468" s="2" t="s">
        <v>74</v>
      </c>
      <c r="X468" s="2" t="s">
        <v>11</v>
      </c>
    </row>
    <row r="469" customFormat="false" ht="15" hidden="false" customHeight="false" outlineLevel="0" collapsed="false">
      <c r="A469" s="2" t="n">
        <v>268.28</v>
      </c>
      <c r="B469" s="2" t="n">
        <v>11.641</v>
      </c>
      <c r="C469" s="2" t="n">
        <v>0.559</v>
      </c>
      <c r="D469" s="2" t="n">
        <v>0.065</v>
      </c>
      <c r="E469" s="2" t="n">
        <v>0.558</v>
      </c>
      <c r="F469" s="2" t="n">
        <v>76</v>
      </c>
      <c r="G469" s="2" t="n">
        <v>22</v>
      </c>
      <c r="H469" s="2" t="n">
        <v>70</v>
      </c>
      <c r="I469" s="2" t="n">
        <v>400</v>
      </c>
      <c r="J469" s="2"/>
      <c r="K469" s="2" t="n">
        <v>1</v>
      </c>
      <c r="L469" s="2" t="n">
        <v>1</v>
      </c>
      <c r="M469" s="2" t="n">
        <v>0</v>
      </c>
      <c r="N469" s="2" t="n">
        <v>0</v>
      </c>
      <c r="O469" s="2" t="n">
        <v>0</v>
      </c>
      <c r="P469" s="2" t="n">
        <v>1</v>
      </c>
      <c r="Q469" s="2" t="n">
        <v>1</v>
      </c>
      <c r="R469" s="2" t="n">
        <v>0</v>
      </c>
      <c r="S469" s="2" t="n">
        <f aca="false">A470-A469</f>
        <v>0.200000000000045</v>
      </c>
      <c r="T469" s="2" t="n">
        <f aca="false">C469+Summary!$C$8*D469</f>
        <v>0.5642975</v>
      </c>
      <c r="U469" s="2" t="n">
        <f aca="false">B469*T469</f>
        <v>6.5689871975</v>
      </c>
      <c r="V469" s="2" t="n">
        <f aca="false">B469*C469</f>
        <v>6.507319</v>
      </c>
      <c r="W469" s="2" t="s">
        <v>74</v>
      </c>
      <c r="X469" s="2" t="s">
        <v>11</v>
      </c>
    </row>
    <row r="470" customFormat="false" ht="15" hidden="false" customHeight="false" outlineLevel="0" collapsed="false">
      <c r="A470" s="2" t="n">
        <v>268.48</v>
      </c>
      <c r="B470" s="2" t="n">
        <v>11.666</v>
      </c>
      <c r="C470" s="2" t="n">
        <v>0.538</v>
      </c>
      <c r="D470" s="2" t="n">
        <v>0.072</v>
      </c>
      <c r="E470" s="2" t="n">
        <v>0.503</v>
      </c>
      <c r="F470" s="2" t="n">
        <v>76</v>
      </c>
      <c r="G470" s="2" t="n">
        <v>400</v>
      </c>
      <c r="H470" s="2" t="n">
        <v>25</v>
      </c>
      <c r="I470" s="2" t="n">
        <v>400</v>
      </c>
      <c r="J470" s="2"/>
      <c r="K470" s="2" t="n">
        <v>1</v>
      </c>
      <c r="L470" s="2" t="n">
        <v>1</v>
      </c>
      <c r="M470" s="2" t="n">
        <v>0</v>
      </c>
      <c r="N470" s="2" t="n">
        <v>0</v>
      </c>
      <c r="O470" s="2" t="n">
        <v>0</v>
      </c>
      <c r="P470" s="2" t="n">
        <v>1</v>
      </c>
      <c r="Q470" s="2" t="n">
        <v>1</v>
      </c>
      <c r="R470" s="2" t="n">
        <v>0</v>
      </c>
      <c r="S470" s="2" t="n">
        <f aca="false">A471-A470</f>
        <v>0.199999999999989</v>
      </c>
      <c r="T470" s="2" t="n">
        <f aca="false">C470+Summary!$C$8*D470</f>
        <v>0.543868</v>
      </c>
      <c r="U470" s="2" t="n">
        <f aca="false">B470*T470</f>
        <v>6.344764088</v>
      </c>
      <c r="V470" s="2" t="n">
        <f aca="false">B470*C470</f>
        <v>6.276308</v>
      </c>
      <c r="W470" s="2" t="s">
        <v>74</v>
      </c>
      <c r="X470" s="2" t="s">
        <v>11</v>
      </c>
    </row>
    <row r="471" customFormat="false" ht="15" hidden="false" customHeight="false" outlineLevel="0" collapsed="false">
      <c r="A471" s="2" t="n">
        <v>268.68</v>
      </c>
      <c r="B471" s="2" t="n">
        <v>11.649</v>
      </c>
      <c r="C471" s="2" t="n">
        <v>0.552</v>
      </c>
      <c r="D471" s="2" t="n">
        <v>0.07</v>
      </c>
      <c r="E471" s="2" t="n">
        <v>0.462</v>
      </c>
      <c r="F471" s="2" t="n">
        <v>76</v>
      </c>
      <c r="G471" s="2" t="n">
        <v>400</v>
      </c>
      <c r="H471" s="2" t="n">
        <v>18</v>
      </c>
      <c r="I471" s="2" t="n">
        <v>36</v>
      </c>
      <c r="J471" s="2"/>
      <c r="K471" s="2" t="n">
        <v>1</v>
      </c>
      <c r="L471" s="2" t="n">
        <v>1</v>
      </c>
      <c r="M471" s="2" t="n">
        <v>0</v>
      </c>
      <c r="N471" s="2" t="n">
        <v>0</v>
      </c>
      <c r="O471" s="2" t="n">
        <v>0</v>
      </c>
      <c r="P471" s="2" t="n">
        <v>1</v>
      </c>
      <c r="Q471" s="2" t="n">
        <v>1</v>
      </c>
      <c r="R471" s="2" t="n">
        <v>0</v>
      </c>
      <c r="S471" s="2" t="n">
        <f aca="false">A472-A471</f>
        <v>0.199999999999989</v>
      </c>
      <c r="T471" s="2" t="n">
        <f aca="false">C471+Summary!$C$8*D471</f>
        <v>0.557705</v>
      </c>
      <c r="U471" s="2" t="n">
        <f aca="false">B471*T471</f>
        <v>6.496705545</v>
      </c>
      <c r="V471" s="2" t="n">
        <f aca="false">B471*C471</f>
        <v>6.430248</v>
      </c>
      <c r="W471" s="2" t="s">
        <v>74</v>
      </c>
      <c r="X471" s="2" t="s">
        <v>11</v>
      </c>
    </row>
    <row r="472" customFormat="false" ht="15" hidden="false" customHeight="false" outlineLevel="0" collapsed="false">
      <c r="A472" s="2" t="n">
        <v>268.88</v>
      </c>
      <c r="B472" s="2" t="n">
        <v>11.643</v>
      </c>
      <c r="C472" s="2" t="n">
        <v>0.545</v>
      </c>
      <c r="D472" s="2" t="n">
        <v>0.058</v>
      </c>
      <c r="E472" s="2" t="n">
        <v>0.435</v>
      </c>
      <c r="F472" s="2" t="n">
        <v>76</v>
      </c>
      <c r="G472" s="2" t="n">
        <v>400</v>
      </c>
      <c r="H472" s="2" t="n">
        <v>400</v>
      </c>
      <c r="I472" s="2" t="n">
        <v>29</v>
      </c>
      <c r="J472" s="2"/>
      <c r="K472" s="2" t="n">
        <v>1</v>
      </c>
      <c r="L472" s="2" t="n">
        <v>1</v>
      </c>
      <c r="M472" s="2" t="n">
        <v>0</v>
      </c>
      <c r="N472" s="2" t="n">
        <v>0</v>
      </c>
      <c r="O472" s="2" t="n">
        <v>0</v>
      </c>
      <c r="P472" s="2" t="n">
        <v>1</v>
      </c>
      <c r="Q472" s="2" t="n">
        <v>1</v>
      </c>
      <c r="R472" s="2" t="n">
        <v>0</v>
      </c>
      <c r="S472" s="2" t="n">
        <f aca="false">A473-A472</f>
        <v>0.199999999999989</v>
      </c>
      <c r="T472" s="2" t="n">
        <f aca="false">C472+Summary!$C$8*D472</f>
        <v>0.549727</v>
      </c>
      <c r="U472" s="2" t="n">
        <f aca="false">B472*T472</f>
        <v>6.400471461</v>
      </c>
      <c r="V472" s="2" t="n">
        <f aca="false">B472*C472</f>
        <v>6.345435</v>
      </c>
      <c r="W472" s="2" t="s">
        <v>74</v>
      </c>
      <c r="X472" s="2" t="s">
        <v>11</v>
      </c>
    </row>
    <row r="473" customFormat="false" ht="15" hidden="false" customHeight="false" outlineLevel="0" collapsed="false">
      <c r="A473" s="2" t="n">
        <v>269.08</v>
      </c>
      <c r="B473" s="2" t="n">
        <v>11.641</v>
      </c>
      <c r="C473" s="2" t="n">
        <v>0.592</v>
      </c>
      <c r="D473" s="2" t="n">
        <v>0.061</v>
      </c>
      <c r="E473" s="2" t="n">
        <v>0.435</v>
      </c>
      <c r="F473" s="2" t="n">
        <v>76</v>
      </c>
      <c r="G473" s="2" t="n">
        <v>400</v>
      </c>
      <c r="H473" s="2" t="n">
        <v>400</v>
      </c>
      <c r="I473" s="2" t="n">
        <v>400</v>
      </c>
      <c r="J473" s="2"/>
      <c r="K473" s="2" t="n">
        <v>1</v>
      </c>
      <c r="L473" s="2" t="n">
        <v>1</v>
      </c>
      <c r="M473" s="2" t="n">
        <v>0</v>
      </c>
      <c r="N473" s="2" t="n">
        <v>0</v>
      </c>
      <c r="O473" s="2" t="n">
        <v>0</v>
      </c>
      <c r="P473" s="2" t="n">
        <v>1</v>
      </c>
      <c r="Q473" s="2" t="n">
        <v>1</v>
      </c>
      <c r="R473" s="2" t="n">
        <v>0</v>
      </c>
      <c r="S473" s="2" t="n">
        <f aca="false">A474-A473</f>
        <v>0.199999999999989</v>
      </c>
      <c r="T473" s="2" t="n">
        <f aca="false">C473+Summary!$C$8*D473</f>
        <v>0.5969715</v>
      </c>
      <c r="U473" s="2" t="n">
        <f aca="false">B473*T473</f>
        <v>6.9493452315</v>
      </c>
      <c r="V473" s="2" t="n">
        <f aca="false">B473*C473</f>
        <v>6.891472</v>
      </c>
      <c r="W473" s="2" t="s">
        <v>74</v>
      </c>
      <c r="X473" s="2" t="s">
        <v>11</v>
      </c>
    </row>
    <row r="474" customFormat="false" ht="15" hidden="false" customHeight="false" outlineLevel="0" collapsed="false">
      <c r="A474" s="2" t="n">
        <v>269.28</v>
      </c>
      <c r="B474" s="2" t="n">
        <v>11.646</v>
      </c>
      <c r="C474" s="2" t="n">
        <v>0.572</v>
      </c>
      <c r="D474" s="2" t="n">
        <v>0.058</v>
      </c>
      <c r="E474" s="2" t="n">
        <v>0.449</v>
      </c>
      <c r="F474" s="2" t="n">
        <v>76</v>
      </c>
      <c r="G474" s="2" t="n">
        <v>400</v>
      </c>
      <c r="H474" s="2" t="n">
        <v>47</v>
      </c>
      <c r="I474" s="2" t="n">
        <v>45</v>
      </c>
      <c r="J474" s="2"/>
      <c r="K474" s="2" t="n">
        <v>1</v>
      </c>
      <c r="L474" s="2" t="n">
        <v>1</v>
      </c>
      <c r="M474" s="2" t="n">
        <v>0</v>
      </c>
      <c r="N474" s="2" t="n">
        <v>0</v>
      </c>
      <c r="O474" s="2" t="n">
        <v>0</v>
      </c>
      <c r="P474" s="2" t="n">
        <v>1</v>
      </c>
      <c r="Q474" s="2" t="n">
        <v>1</v>
      </c>
      <c r="R474" s="2" t="n">
        <v>0</v>
      </c>
      <c r="S474" s="2" t="n">
        <f aca="false">A475-A474</f>
        <v>0.200000000000045</v>
      </c>
      <c r="T474" s="2" t="n">
        <f aca="false">C474+Summary!$C$8*D474</f>
        <v>0.576727</v>
      </c>
      <c r="U474" s="2" t="n">
        <f aca="false">B474*T474</f>
        <v>6.716562642</v>
      </c>
      <c r="V474" s="2" t="n">
        <f aca="false">B474*C474</f>
        <v>6.661512</v>
      </c>
      <c r="W474" s="2" t="s">
        <v>74</v>
      </c>
      <c r="X474" s="2" t="s">
        <v>11</v>
      </c>
    </row>
    <row r="475" customFormat="false" ht="15" hidden="false" customHeight="false" outlineLevel="0" collapsed="false">
      <c r="A475" s="2" t="n">
        <v>269.48</v>
      </c>
      <c r="B475" s="2" t="n">
        <v>11.634</v>
      </c>
      <c r="C475" s="2" t="n">
        <v>0.565</v>
      </c>
      <c r="D475" s="2" t="n">
        <v>0.049</v>
      </c>
      <c r="E475" s="2" t="n">
        <v>0.422</v>
      </c>
      <c r="F475" s="2" t="n">
        <v>76</v>
      </c>
      <c r="G475" s="2" t="n">
        <v>400</v>
      </c>
      <c r="H475" s="2" t="n">
        <v>32</v>
      </c>
      <c r="I475" s="2" t="n">
        <v>400</v>
      </c>
      <c r="J475" s="2"/>
      <c r="K475" s="2" t="n">
        <v>1</v>
      </c>
      <c r="L475" s="2" t="n">
        <v>1</v>
      </c>
      <c r="M475" s="2" t="n">
        <v>0</v>
      </c>
      <c r="N475" s="2" t="n">
        <v>0</v>
      </c>
      <c r="O475" s="2" t="n">
        <v>0</v>
      </c>
      <c r="P475" s="2" t="n">
        <v>1</v>
      </c>
      <c r="Q475" s="2" t="n">
        <v>1</v>
      </c>
      <c r="R475" s="2" t="n">
        <v>0</v>
      </c>
      <c r="S475" s="2" t="n">
        <f aca="false">A476-A475</f>
        <v>0.199999999999989</v>
      </c>
      <c r="T475" s="2" t="n">
        <f aca="false">C475+Summary!$C$8*D475</f>
        <v>0.5689935</v>
      </c>
      <c r="U475" s="2" t="n">
        <f aca="false">B475*T475</f>
        <v>6.619670379</v>
      </c>
      <c r="V475" s="2" t="n">
        <f aca="false">B475*C475</f>
        <v>6.57321</v>
      </c>
      <c r="W475" s="2" t="s">
        <v>74</v>
      </c>
      <c r="X475" s="2" t="s">
        <v>11</v>
      </c>
    </row>
    <row r="476" customFormat="false" ht="15" hidden="false" customHeight="false" outlineLevel="0" collapsed="false">
      <c r="A476" s="2" t="n">
        <v>269.68</v>
      </c>
      <c r="B476" s="2" t="n">
        <v>11.645</v>
      </c>
      <c r="C476" s="2" t="n">
        <v>0.557</v>
      </c>
      <c r="D476" s="2" t="n">
        <v>0.062</v>
      </c>
      <c r="E476" s="2" t="n">
        <v>0.462</v>
      </c>
      <c r="F476" s="2" t="n">
        <v>76</v>
      </c>
      <c r="G476" s="2" t="n">
        <v>400</v>
      </c>
      <c r="H476" s="2" t="n">
        <v>27</v>
      </c>
      <c r="I476" s="2" t="n">
        <v>400</v>
      </c>
      <c r="J476" s="2"/>
      <c r="K476" s="2" t="n">
        <v>1</v>
      </c>
      <c r="L476" s="2" t="n">
        <v>1</v>
      </c>
      <c r="M476" s="2" t="n">
        <v>0</v>
      </c>
      <c r="N476" s="2" t="n">
        <v>0</v>
      </c>
      <c r="O476" s="2" t="n">
        <v>0</v>
      </c>
      <c r="P476" s="2" t="n">
        <v>1</v>
      </c>
      <c r="Q476" s="2" t="n">
        <v>1</v>
      </c>
      <c r="R476" s="2" t="n">
        <v>0</v>
      </c>
      <c r="S476" s="2" t="n">
        <f aca="false">A477-A476</f>
        <v>0.199999999999989</v>
      </c>
      <c r="T476" s="2" t="n">
        <f aca="false">C476+Summary!$C$8*D476</f>
        <v>0.562053</v>
      </c>
      <c r="U476" s="2" t="n">
        <f aca="false">B476*T476</f>
        <v>6.545107185</v>
      </c>
      <c r="V476" s="2" t="n">
        <f aca="false">B476*C476</f>
        <v>6.486265</v>
      </c>
      <c r="W476" s="2" t="s">
        <v>74</v>
      </c>
      <c r="X476" s="2" t="s">
        <v>11</v>
      </c>
    </row>
    <row r="477" customFormat="false" ht="15" hidden="false" customHeight="false" outlineLevel="0" collapsed="false">
      <c r="A477" s="2" t="n">
        <v>269.88</v>
      </c>
      <c r="B477" s="2" t="n">
        <v>11.658</v>
      </c>
      <c r="C477" s="2" t="n">
        <v>0.542</v>
      </c>
      <c r="D477" s="2" t="n">
        <v>0.045</v>
      </c>
      <c r="E477" s="2" t="n">
        <v>0.422</v>
      </c>
      <c r="F477" s="2" t="n">
        <v>76</v>
      </c>
      <c r="G477" s="2" t="n">
        <v>400</v>
      </c>
      <c r="H477" s="2" t="n">
        <v>26</v>
      </c>
      <c r="I477" s="2" t="n">
        <v>24</v>
      </c>
      <c r="J477" s="2"/>
      <c r="K477" s="2" t="n">
        <v>1</v>
      </c>
      <c r="L477" s="2" t="n">
        <v>1</v>
      </c>
      <c r="M477" s="2" t="n">
        <v>0</v>
      </c>
      <c r="N477" s="2" t="n">
        <v>0</v>
      </c>
      <c r="O477" s="2" t="n">
        <v>0</v>
      </c>
      <c r="P477" s="2" t="n">
        <v>1</v>
      </c>
      <c r="Q477" s="2" t="n">
        <v>1</v>
      </c>
      <c r="R477" s="2" t="n">
        <v>0</v>
      </c>
      <c r="S477" s="2" t="n">
        <f aca="false">A478-A477</f>
        <v>0.199999999999989</v>
      </c>
      <c r="T477" s="2" t="n">
        <f aca="false">C477+Summary!$C$8*D477</f>
        <v>0.5456675</v>
      </c>
      <c r="U477" s="2" t="n">
        <f aca="false">B477*T477</f>
        <v>6.361391715</v>
      </c>
      <c r="V477" s="2" t="n">
        <f aca="false">B477*C477</f>
        <v>6.318636</v>
      </c>
      <c r="W477" s="2" t="s">
        <v>74</v>
      </c>
      <c r="X477" s="2" t="s">
        <v>11</v>
      </c>
    </row>
    <row r="478" customFormat="false" ht="15" hidden="false" customHeight="false" outlineLevel="0" collapsed="false">
      <c r="A478" s="2" t="n">
        <v>270.08</v>
      </c>
      <c r="B478" s="2" t="n">
        <v>11.652</v>
      </c>
      <c r="C478" s="2" t="n">
        <v>0.535</v>
      </c>
      <c r="D478" s="2" t="n">
        <v>0.056</v>
      </c>
      <c r="E478" s="2" t="n">
        <v>0.422</v>
      </c>
      <c r="F478" s="2" t="n">
        <v>76</v>
      </c>
      <c r="G478" s="2" t="n">
        <v>400</v>
      </c>
      <c r="H478" s="2" t="n">
        <v>400</v>
      </c>
      <c r="I478" s="2" t="n">
        <v>39</v>
      </c>
      <c r="J478" s="2"/>
      <c r="K478" s="2" t="n">
        <v>1</v>
      </c>
      <c r="L478" s="2" t="n">
        <v>1</v>
      </c>
      <c r="M478" s="2" t="n">
        <v>0</v>
      </c>
      <c r="N478" s="2" t="n">
        <v>0</v>
      </c>
      <c r="O478" s="2" t="n">
        <v>0</v>
      </c>
      <c r="P478" s="2" t="n">
        <v>1</v>
      </c>
      <c r="Q478" s="2" t="n">
        <v>1</v>
      </c>
      <c r="R478" s="2" t="n">
        <v>0</v>
      </c>
      <c r="S478" s="2" t="n">
        <f aca="false">A479-A478</f>
        <v>0.199999999999989</v>
      </c>
      <c r="T478" s="2" t="n">
        <f aca="false">C478+Summary!$C$8*D478</f>
        <v>0.539564</v>
      </c>
      <c r="U478" s="2" t="n">
        <f aca="false">B478*T478</f>
        <v>6.286999728</v>
      </c>
      <c r="V478" s="2" t="n">
        <f aca="false">B478*C478</f>
        <v>6.23382</v>
      </c>
      <c r="W478" s="2" t="s">
        <v>74</v>
      </c>
      <c r="X478" s="2" t="s">
        <v>11</v>
      </c>
    </row>
    <row r="479" customFormat="false" ht="15" hidden="false" customHeight="false" outlineLevel="0" collapsed="false">
      <c r="A479" s="2" t="n">
        <v>270.28</v>
      </c>
      <c r="B479" s="2" t="n">
        <v>11.646</v>
      </c>
      <c r="C479" s="2" t="n">
        <v>0.569</v>
      </c>
      <c r="D479" s="2" t="n">
        <v>0.051</v>
      </c>
      <c r="E479" s="2" t="n">
        <v>0.435</v>
      </c>
      <c r="F479" s="2" t="n">
        <v>76</v>
      </c>
      <c r="G479" s="2" t="n">
        <v>400</v>
      </c>
      <c r="H479" s="2" t="n">
        <v>400</v>
      </c>
      <c r="I479" s="2" t="n">
        <v>19</v>
      </c>
      <c r="J479" s="2"/>
      <c r="K479" s="2" t="n">
        <v>1</v>
      </c>
      <c r="L479" s="2" t="n">
        <v>1</v>
      </c>
      <c r="M479" s="2" t="n">
        <v>0</v>
      </c>
      <c r="N479" s="2" t="n">
        <v>0</v>
      </c>
      <c r="O479" s="2" t="n">
        <v>0</v>
      </c>
      <c r="P479" s="2" t="n">
        <v>1</v>
      </c>
      <c r="Q479" s="2" t="n">
        <v>1</v>
      </c>
      <c r="R479" s="2" t="n">
        <v>0</v>
      </c>
      <c r="S479" s="2" t="n">
        <f aca="false">A480-A479</f>
        <v>0.200000000000045</v>
      </c>
      <c r="T479" s="2" t="n">
        <f aca="false">C479+Summary!$C$8*D479</f>
        <v>0.5731565</v>
      </c>
      <c r="U479" s="2" t="n">
        <f aca="false">B479*T479</f>
        <v>6.674980599</v>
      </c>
      <c r="V479" s="2" t="n">
        <f aca="false">B479*C479</f>
        <v>6.626574</v>
      </c>
      <c r="W479" s="2" t="s">
        <v>74</v>
      </c>
      <c r="X479" s="2" t="s">
        <v>11</v>
      </c>
    </row>
    <row r="480" customFormat="false" ht="15" hidden="false" customHeight="false" outlineLevel="0" collapsed="false">
      <c r="A480" s="2" t="n">
        <v>270.48</v>
      </c>
      <c r="B480" s="2" t="n">
        <v>11.648</v>
      </c>
      <c r="C480" s="2" t="n">
        <v>0.59</v>
      </c>
      <c r="D480" s="2" t="n">
        <v>0.05</v>
      </c>
      <c r="E480" s="2" t="n">
        <v>0.449</v>
      </c>
      <c r="F480" s="2" t="n">
        <v>76</v>
      </c>
      <c r="G480" s="2" t="n">
        <v>400</v>
      </c>
      <c r="H480" s="2" t="n">
        <v>18</v>
      </c>
      <c r="I480" s="2" t="n">
        <v>18</v>
      </c>
      <c r="J480" s="2"/>
      <c r="K480" s="2" t="n">
        <v>1</v>
      </c>
      <c r="L480" s="2" t="n">
        <v>1</v>
      </c>
      <c r="M480" s="2" t="n">
        <v>0</v>
      </c>
      <c r="N480" s="2" t="n">
        <v>0</v>
      </c>
      <c r="O480" s="2" t="n">
        <v>0</v>
      </c>
      <c r="P480" s="2" t="n">
        <v>1</v>
      </c>
      <c r="Q480" s="2" t="n">
        <v>1</v>
      </c>
      <c r="R480" s="2" t="n">
        <v>0</v>
      </c>
      <c r="S480" s="2" t="n">
        <f aca="false">A481-A480</f>
        <v>0.199999999999989</v>
      </c>
      <c r="T480" s="2" t="n">
        <f aca="false">C480+Summary!$C$8*D480</f>
        <v>0.594075</v>
      </c>
      <c r="U480" s="2" t="n">
        <f aca="false">B480*T480</f>
        <v>6.9197856</v>
      </c>
      <c r="V480" s="2" t="n">
        <f aca="false">B480*C480</f>
        <v>6.87232</v>
      </c>
      <c r="W480" s="2" t="s">
        <v>74</v>
      </c>
      <c r="X480" s="2" t="s">
        <v>11</v>
      </c>
    </row>
    <row r="481" customFormat="false" ht="15" hidden="false" customHeight="false" outlineLevel="0" collapsed="false">
      <c r="A481" s="2" t="n">
        <v>270.68</v>
      </c>
      <c r="B481" s="2" t="n">
        <v>11.65</v>
      </c>
      <c r="C481" s="2" t="n">
        <v>0.606</v>
      </c>
      <c r="D481" s="2" t="n">
        <v>0.038</v>
      </c>
      <c r="E481" s="2" t="n">
        <v>0.435</v>
      </c>
      <c r="F481" s="2" t="n">
        <v>76</v>
      </c>
      <c r="G481" s="2" t="n">
        <v>400</v>
      </c>
      <c r="H481" s="2" t="n">
        <v>30</v>
      </c>
      <c r="I481" s="2" t="n">
        <v>400</v>
      </c>
      <c r="J481" s="2"/>
      <c r="K481" s="2" t="n">
        <v>1</v>
      </c>
      <c r="L481" s="2" t="n">
        <v>1</v>
      </c>
      <c r="M481" s="2" t="n">
        <v>0</v>
      </c>
      <c r="N481" s="2" t="n">
        <v>0</v>
      </c>
      <c r="O481" s="2" t="n">
        <v>0</v>
      </c>
      <c r="P481" s="2" t="n">
        <v>1</v>
      </c>
      <c r="Q481" s="2" t="n">
        <v>1</v>
      </c>
      <c r="R481" s="2" t="n">
        <v>0</v>
      </c>
      <c r="S481" s="2" t="n">
        <f aca="false">A482-A481</f>
        <v>0.199999999999989</v>
      </c>
      <c r="T481" s="2" t="n">
        <f aca="false">C481+Summary!$C$8*D481</f>
        <v>0.609097</v>
      </c>
      <c r="U481" s="2" t="n">
        <f aca="false">B481*T481</f>
        <v>7.09598005</v>
      </c>
      <c r="V481" s="2" t="n">
        <f aca="false">B481*C481</f>
        <v>7.0599</v>
      </c>
      <c r="W481" s="2" t="s">
        <v>74</v>
      </c>
      <c r="X481" s="2" t="s">
        <v>11</v>
      </c>
    </row>
    <row r="482" customFormat="false" ht="15" hidden="false" customHeight="false" outlineLevel="0" collapsed="false">
      <c r="A482" s="2" t="n">
        <v>270.88</v>
      </c>
      <c r="B482" s="2" t="n">
        <v>11.652</v>
      </c>
      <c r="C482" s="2" t="n">
        <v>0.589</v>
      </c>
      <c r="D482" s="2" t="n">
        <v>0.038</v>
      </c>
      <c r="E482" s="2" t="n">
        <v>0.449</v>
      </c>
      <c r="F482" s="2" t="n">
        <v>76</v>
      </c>
      <c r="G482" s="2" t="n">
        <v>400</v>
      </c>
      <c r="H482" s="2" t="n">
        <v>20</v>
      </c>
      <c r="I482" s="2" t="n">
        <v>32</v>
      </c>
      <c r="J482" s="2"/>
      <c r="K482" s="2" t="n">
        <v>1</v>
      </c>
      <c r="L482" s="2" t="n">
        <v>1</v>
      </c>
      <c r="M482" s="2" t="n">
        <v>0</v>
      </c>
      <c r="N482" s="2" t="n">
        <v>0</v>
      </c>
      <c r="O482" s="2" t="n">
        <v>0</v>
      </c>
      <c r="P482" s="2" t="n">
        <v>1</v>
      </c>
      <c r="Q482" s="2" t="n">
        <v>1</v>
      </c>
      <c r="R482" s="2" t="n">
        <v>0</v>
      </c>
      <c r="S482" s="2" t="n">
        <f aca="false">A483-A482</f>
        <v>0.199999999999989</v>
      </c>
      <c r="T482" s="2" t="n">
        <f aca="false">C482+Summary!$C$8*D482</f>
        <v>0.592097</v>
      </c>
      <c r="U482" s="2" t="n">
        <f aca="false">B482*T482</f>
        <v>6.899114244</v>
      </c>
      <c r="V482" s="2" t="n">
        <f aca="false">B482*C482</f>
        <v>6.863028</v>
      </c>
      <c r="W482" s="2" t="s">
        <v>74</v>
      </c>
      <c r="X482" s="2" t="s">
        <v>11</v>
      </c>
    </row>
    <row r="483" customFormat="false" ht="15" hidden="false" customHeight="false" outlineLevel="0" collapsed="false">
      <c r="A483" s="2" t="n">
        <v>271.08</v>
      </c>
      <c r="B483" s="2" t="n">
        <v>11.634</v>
      </c>
      <c r="C483" s="2" t="n">
        <v>0.528</v>
      </c>
      <c r="D483" s="2" t="n">
        <v>0.029</v>
      </c>
      <c r="E483" s="2" t="n">
        <v>0.449</v>
      </c>
      <c r="F483" s="2" t="n">
        <v>76</v>
      </c>
      <c r="G483" s="2" t="n">
        <v>400</v>
      </c>
      <c r="H483" s="2" t="n">
        <v>20</v>
      </c>
      <c r="I483" s="2" t="n">
        <v>400</v>
      </c>
      <c r="J483" s="2"/>
      <c r="K483" s="2" t="n">
        <v>1</v>
      </c>
      <c r="L483" s="2" t="n">
        <v>1</v>
      </c>
      <c r="M483" s="2" t="n">
        <v>0</v>
      </c>
      <c r="N483" s="2" t="n">
        <v>0</v>
      </c>
      <c r="O483" s="2" t="n">
        <v>0</v>
      </c>
      <c r="P483" s="2" t="n">
        <v>1</v>
      </c>
      <c r="Q483" s="2" t="n">
        <v>1</v>
      </c>
      <c r="R483" s="2" t="n">
        <v>0</v>
      </c>
      <c r="S483" s="2" t="n">
        <f aca="false">A484-A483</f>
        <v>0.199999999999989</v>
      </c>
      <c r="T483" s="2" t="n">
        <f aca="false">C483+Summary!$C$8*D483</f>
        <v>0.5303635</v>
      </c>
      <c r="U483" s="2" t="n">
        <f aca="false">B483*T483</f>
        <v>6.170248959</v>
      </c>
      <c r="V483" s="2" t="n">
        <f aca="false">B483*C483</f>
        <v>6.142752</v>
      </c>
      <c r="W483" s="2" t="s">
        <v>74</v>
      </c>
      <c r="X483" s="2" t="s">
        <v>11</v>
      </c>
    </row>
    <row r="484" customFormat="false" ht="15" hidden="false" customHeight="false" outlineLevel="0" collapsed="false">
      <c r="A484" s="2" t="n">
        <v>271.28</v>
      </c>
      <c r="B484" s="2" t="n">
        <v>11.637</v>
      </c>
      <c r="C484" s="2" t="n">
        <v>0.532</v>
      </c>
      <c r="D484" s="2" t="n">
        <v>0.025</v>
      </c>
      <c r="E484" s="2" t="n">
        <v>0.408</v>
      </c>
      <c r="F484" s="2" t="n">
        <v>76</v>
      </c>
      <c r="G484" s="2" t="n">
        <v>400</v>
      </c>
      <c r="H484" s="2" t="n">
        <v>400</v>
      </c>
      <c r="I484" s="2" t="n">
        <v>400</v>
      </c>
      <c r="J484" s="2"/>
      <c r="K484" s="2" t="n">
        <v>1</v>
      </c>
      <c r="L484" s="2" t="n">
        <v>1</v>
      </c>
      <c r="M484" s="2" t="n">
        <v>0</v>
      </c>
      <c r="N484" s="2" t="n">
        <v>0</v>
      </c>
      <c r="O484" s="2" t="n">
        <v>0</v>
      </c>
      <c r="P484" s="2" t="n">
        <v>1</v>
      </c>
      <c r="Q484" s="2" t="n">
        <v>1</v>
      </c>
      <c r="R484" s="2" t="n">
        <v>0</v>
      </c>
      <c r="S484" s="2" t="n">
        <f aca="false">A485-A484</f>
        <v>0.200000000000045</v>
      </c>
      <c r="T484" s="2" t="n">
        <f aca="false">C484+Summary!$C$8*D484</f>
        <v>0.5340375</v>
      </c>
      <c r="U484" s="2" t="n">
        <f aca="false">B484*T484</f>
        <v>6.2145943875</v>
      </c>
      <c r="V484" s="2" t="n">
        <f aca="false">B484*C484</f>
        <v>6.190884</v>
      </c>
      <c r="W484" s="2" t="s">
        <v>74</v>
      </c>
      <c r="X484" s="2" t="s">
        <v>11</v>
      </c>
    </row>
    <row r="485" customFormat="false" ht="15" hidden="false" customHeight="false" outlineLevel="0" collapsed="false">
      <c r="A485" s="2" t="n">
        <v>271.48</v>
      </c>
      <c r="B485" s="2" t="n">
        <v>11.526</v>
      </c>
      <c r="C485" s="2" t="n">
        <v>0.846</v>
      </c>
      <c r="D485" s="2" t="n">
        <v>0.027</v>
      </c>
      <c r="E485" s="2" t="n">
        <v>0.381</v>
      </c>
      <c r="F485" s="2" t="n">
        <v>76</v>
      </c>
      <c r="G485" s="2" t="n">
        <v>400</v>
      </c>
      <c r="H485" s="2" t="n">
        <v>400</v>
      </c>
      <c r="I485" s="2" t="n">
        <v>400</v>
      </c>
      <c r="J485" s="2"/>
      <c r="K485" s="2" t="n">
        <v>1</v>
      </c>
      <c r="L485" s="2" t="n">
        <v>1</v>
      </c>
      <c r="M485" s="2" t="n">
        <v>0</v>
      </c>
      <c r="N485" s="2" t="n">
        <v>0</v>
      </c>
      <c r="O485" s="2" t="n">
        <v>0</v>
      </c>
      <c r="P485" s="2" t="n">
        <v>1</v>
      </c>
      <c r="Q485" s="2" t="n">
        <v>1</v>
      </c>
      <c r="R485" s="2" t="n">
        <v>0</v>
      </c>
      <c r="S485" s="2" t="n">
        <f aca="false">A486-A485</f>
        <v>0.199999999999989</v>
      </c>
      <c r="T485" s="2" t="n">
        <f aca="false">C485+Summary!$C$8*D485</f>
        <v>0.8482005</v>
      </c>
      <c r="U485" s="2" t="n">
        <f aca="false">B485*T485</f>
        <v>9.776358963</v>
      </c>
      <c r="V485" s="2" t="n">
        <f aca="false">B485*C485</f>
        <v>9.750996</v>
      </c>
      <c r="W485" s="2" t="s">
        <v>74</v>
      </c>
      <c r="X485" s="2" t="s">
        <v>11</v>
      </c>
    </row>
    <row r="486" customFormat="false" ht="15" hidden="false" customHeight="false" outlineLevel="0" collapsed="false">
      <c r="A486" s="2" t="n">
        <v>271.68</v>
      </c>
      <c r="B486" s="2" t="n">
        <v>11.633</v>
      </c>
      <c r="C486" s="2" t="n">
        <v>0.633</v>
      </c>
      <c r="D486" s="2" t="n">
        <v>0.021</v>
      </c>
      <c r="E486" s="2" t="n">
        <v>0.503</v>
      </c>
      <c r="F486" s="2" t="n">
        <v>76</v>
      </c>
      <c r="G486" s="2" t="n">
        <v>400</v>
      </c>
      <c r="H486" s="2" t="n">
        <v>400</v>
      </c>
      <c r="I486" s="2" t="n">
        <v>400</v>
      </c>
      <c r="J486" s="2"/>
      <c r="K486" s="2" t="n">
        <v>1</v>
      </c>
      <c r="L486" s="2" t="n">
        <v>1</v>
      </c>
      <c r="M486" s="2" t="n">
        <v>0</v>
      </c>
      <c r="N486" s="2" t="n">
        <v>0</v>
      </c>
      <c r="O486" s="2" t="n">
        <v>0</v>
      </c>
      <c r="P486" s="2" t="n">
        <v>1</v>
      </c>
      <c r="Q486" s="2" t="n">
        <v>1</v>
      </c>
      <c r="R486" s="2" t="n">
        <v>0</v>
      </c>
      <c r="S486" s="2" t="n">
        <f aca="false">A487-A486</f>
        <v>0.199999999999989</v>
      </c>
      <c r="T486" s="2" t="n">
        <f aca="false">C486+Summary!$C$8*D486</f>
        <v>0.6347115</v>
      </c>
      <c r="U486" s="2" t="n">
        <f aca="false">B486*T486</f>
        <v>7.3835988795</v>
      </c>
      <c r="V486" s="2" t="n">
        <f aca="false">B486*C486</f>
        <v>7.363689</v>
      </c>
      <c r="W486" s="2" t="s">
        <v>74</v>
      </c>
      <c r="X486" s="2" t="s">
        <v>11</v>
      </c>
    </row>
    <row r="487" customFormat="false" ht="15" hidden="false" customHeight="false" outlineLevel="0" collapsed="false">
      <c r="A487" s="2" t="n">
        <v>271.88</v>
      </c>
      <c r="B487" s="2" t="n">
        <v>11.706</v>
      </c>
      <c r="C487" s="2" t="n">
        <v>0.361</v>
      </c>
      <c r="D487" s="2" t="n">
        <v>0.021</v>
      </c>
      <c r="E487" s="2" t="n">
        <v>0.68</v>
      </c>
      <c r="F487" s="2" t="n">
        <v>76</v>
      </c>
      <c r="G487" s="2" t="n">
        <v>400</v>
      </c>
      <c r="H487" s="2" t="n">
        <v>400</v>
      </c>
      <c r="I487" s="2" t="n">
        <v>400</v>
      </c>
      <c r="J487" s="2"/>
      <c r="K487" s="2" t="n">
        <v>1</v>
      </c>
      <c r="L487" s="2" t="n">
        <v>1</v>
      </c>
      <c r="M487" s="2" t="n">
        <v>0</v>
      </c>
      <c r="N487" s="2" t="n">
        <v>0</v>
      </c>
      <c r="O487" s="2" t="n">
        <v>0</v>
      </c>
      <c r="P487" s="2" t="n">
        <v>1</v>
      </c>
      <c r="Q487" s="2" t="n">
        <v>1</v>
      </c>
      <c r="R487" s="2" t="n">
        <v>0</v>
      </c>
      <c r="S487" s="2" t="n">
        <f aca="false">A488-A487</f>
        <v>0.199999999999989</v>
      </c>
      <c r="T487" s="2" t="n">
        <f aca="false">C487+Summary!$C$8*D487</f>
        <v>0.3627115</v>
      </c>
      <c r="U487" s="2" t="n">
        <f aca="false">B487*T487</f>
        <v>4.245900819</v>
      </c>
      <c r="V487" s="2" t="n">
        <f aca="false">B487*C487</f>
        <v>4.225866</v>
      </c>
      <c r="W487" s="2" t="s">
        <v>74</v>
      </c>
      <c r="X487" s="2" t="s">
        <v>11</v>
      </c>
    </row>
    <row r="488" customFormat="false" ht="15" hidden="false" customHeight="false" outlineLevel="0" collapsed="false">
      <c r="A488" s="2" t="n">
        <v>272.08</v>
      </c>
      <c r="B488" s="2" t="n">
        <v>11.655</v>
      </c>
      <c r="C488" s="2" t="n">
        <v>0.48</v>
      </c>
      <c r="D488" s="2" t="n">
        <v>0.019</v>
      </c>
      <c r="E488" s="2" t="n">
        <v>0.68</v>
      </c>
      <c r="F488" s="2" t="n">
        <v>76</v>
      </c>
      <c r="G488" s="2" t="n">
        <v>400</v>
      </c>
      <c r="H488" s="2" t="n">
        <v>39</v>
      </c>
      <c r="I488" s="2" t="n">
        <v>400</v>
      </c>
      <c r="J488" s="2"/>
      <c r="K488" s="2" t="n">
        <v>1</v>
      </c>
      <c r="L488" s="2" t="n">
        <v>1</v>
      </c>
      <c r="M488" s="2" t="n">
        <v>0</v>
      </c>
      <c r="N488" s="2" t="n">
        <v>0</v>
      </c>
      <c r="O488" s="2" t="n">
        <v>0</v>
      </c>
      <c r="P488" s="2" t="n">
        <v>1</v>
      </c>
      <c r="Q488" s="2" t="n">
        <v>1</v>
      </c>
      <c r="R488" s="2" t="n">
        <v>0</v>
      </c>
      <c r="S488" s="2" t="n">
        <f aca="false">A489-A488</f>
        <v>0.199999999999989</v>
      </c>
      <c r="T488" s="2" t="n">
        <f aca="false">C488+Summary!$C$8*D488</f>
        <v>0.4815485</v>
      </c>
      <c r="U488" s="2" t="n">
        <f aca="false">B488*T488</f>
        <v>5.6124477675</v>
      </c>
      <c r="V488" s="2" t="n">
        <f aca="false">B488*C488</f>
        <v>5.5944</v>
      </c>
      <c r="W488" s="2" t="s">
        <v>74</v>
      </c>
      <c r="X488" s="2" t="s">
        <v>11</v>
      </c>
    </row>
    <row r="489" customFormat="false" ht="15" hidden="false" customHeight="false" outlineLevel="0" collapsed="false">
      <c r="A489" s="2" t="n">
        <v>272.28</v>
      </c>
      <c r="B489" s="2" t="n">
        <v>11.65</v>
      </c>
      <c r="C489" s="2" t="n">
        <v>0.52</v>
      </c>
      <c r="D489" s="2" t="n">
        <v>0.022</v>
      </c>
      <c r="E489" s="2" t="n">
        <v>0.571</v>
      </c>
      <c r="F489" s="2" t="n">
        <v>76</v>
      </c>
      <c r="G489" s="2" t="n">
        <v>400</v>
      </c>
      <c r="H489" s="2" t="n">
        <v>400</v>
      </c>
      <c r="I489" s="2" t="n">
        <v>400</v>
      </c>
      <c r="J489" s="2"/>
      <c r="K489" s="2" t="n">
        <v>1</v>
      </c>
      <c r="L489" s="2" t="n">
        <v>1</v>
      </c>
      <c r="M489" s="2" t="n">
        <v>0</v>
      </c>
      <c r="N489" s="2" t="n">
        <v>0</v>
      </c>
      <c r="O489" s="2" t="n">
        <v>0</v>
      </c>
      <c r="P489" s="2" t="n">
        <v>1</v>
      </c>
      <c r="Q489" s="2" t="n">
        <v>1</v>
      </c>
      <c r="R489" s="2" t="n">
        <v>0</v>
      </c>
      <c r="S489" s="2" t="n">
        <f aca="false">A490-A489</f>
        <v>0.200000000000045</v>
      </c>
      <c r="T489" s="2" t="n">
        <f aca="false">C489+Summary!$C$8*D489</f>
        <v>0.521793</v>
      </c>
      <c r="U489" s="2" t="n">
        <f aca="false">B489*T489</f>
        <v>6.07888845</v>
      </c>
      <c r="V489" s="2" t="n">
        <f aca="false">B489*C489</f>
        <v>6.058</v>
      </c>
      <c r="W489" s="2" t="s">
        <v>74</v>
      </c>
      <c r="X489" s="2" t="s">
        <v>11</v>
      </c>
    </row>
    <row r="490" customFormat="false" ht="15" hidden="false" customHeight="false" outlineLevel="0" collapsed="false">
      <c r="A490" s="2" t="n">
        <v>272.48</v>
      </c>
      <c r="B490" s="2" t="n">
        <v>11.657</v>
      </c>
      <c r="C490" s="2" t="n">
        <v>0.474</v>
      </c>
      <c r="D490" s="2" t="n">
        <v>0.036</v>
      </c>
      <c r="E490" s="2" t="n">
        <v>0.503</v>
      </c>
      <c r="F490" s="2" t="n">
        <v>76</v>
      </c>
      <c r="G490" s="2" t="n">
        <v>400</v>
      </c>
      <c r="H490" s="2" t="n">
        <v>34</v>
      </c>
      <c r="I490" s="2" t="n">
        <v>400</v>
      </c>
      <c r="J490" s="2"/>
      <c r="K490" s="2" t="n">
        <v>1</v>
      </c>
      <c r="L490" s="2" t="n">
        <v>1</v>
      </c>
      <c r="M490" s="2" t="n">
        <v>0</v>
      </c>
      <c r="N490" s="2" t="n">
        <v>0</v>
      </c>
      <c r="O490" s="2" t="n">
        <v>0</v>
      </c>
      <c r="P490" s="2" t="n">
        <v>1</v>
      </c>
      <c r="Q490" s="2" t="n">
        <v>1</v>
      </c>
      <c r="R490" s="2" t="n">
        <v>0</v>
      </c>
      <c r="S490" s="2" t="n">
        <f aca="false">A491-A490</f>
        <v>0.199999999999989</v>
      </c>
      <c r="T490" s="2" t="n">
        <f aca="false">C490+Summary!$C$8*D490</f>
        <v>0.476934</v>
      </c>
      <c r="U490" s="2" t="n">
        <f aca="false">B490*T490</f>
        <v>5.559619638</v>
      </c>
      <c r="V490" s="2" t="n">
        <f aca="false">B490*C490</f>
        <v>5.525418</v>
      </c>
      <c r="W490" s="2" t="s">
        <v>74</v>
      </c>
      <c r="X490" s="2" t="s">
        <v>11</v>
      </c>
    </row>
    <row r="491" customFormat="false" ht="15" hidden="false" customHeight="false" outlineLevel="0" collapsed="false">
      <c r="A491" s="2" t="n">
        <v>272.68</v>
      </c>
      <c r="B491" s="2" t="n">
        <v>11.641</v>
      </c>
      <c r="C491" s="2" t="n">
        <v>0.601</v>
      </c>
      <c r="D491" s="2" t="n">
        <v>0.037</v>
      </c>
      <c r="E491" s="2" t="n">
        <v>0.476</v>
      </c>
      <c r="F491" s="2" t="n">
        <v>76</v>
      </c>
      <c r="G491" s="2" t="n">
        <v>400</v>
      </c>
      <c r="H491" s="2" t="n">
        <v>39</v>
      </c>
      <c r="I491" s="2" t="n">
        <v>400</v>
      </c>
      <c r="J491" s="2"/>
      <c r="K491" s="2" t="n">
        <v>1</v>
      </c>
      <c r="L491" s="2" t="n">
        <v>1</v>
      </c>
      <c r="M491" s="2" t="n">
        <v>0</v>
      </c>
      <c r="N491" s="2" t="n">
        <v>0</v>
      </c>
      <c r="O491" s="2" t="n">
        <v>0</v>
      </c>
      <c r="P491" s="2" t="n">
        <v>1</v>
      </c>
      <c r="Q491" s="2" t="n">
        <v>1</v>
      </c>
      <c r="R491" s="2" t="n">
        <v>0</v>
      </c>
      <c r="S491" s="2" t="n">
        <f aca="false">A492-A491</f>
        <v>0.199999999999989</v>
      </c>
      <c r="T491" s="2" t="n">
        <f aca="false">C491+Summary!$C$8*D491</f>
        <v>0.6040155</v>
      </c>
      <c r="U491" s="2" t="n">
        <f aca="false">B491*T491</f>
        <v>7.0313444355</v>
      </c>
      <c r="V491" s="2" t="n">
        <f aca="false">B491*C491</f>
        <v>6.996241</v>
      </c>
      <c r="W491" s="2" t="s">
        <v>74</v>
      </c>
      <c r="X491" s="2" t="s">
        <v>11</v>
      </c>
    </row>
    <row r="492" customFormat="false" ht="15" hidden="false" customHeight="false" outlineLevel="0" collapsed="false">
      <c r="A492" s="2" t="n">
        <v>272.88</v>
      </c>
      <c r="B492" s="2" t="n">
        <v>11.631</v>
      </c>
      <c r="C492" s="2" t="n">
        <v>0.697</v>
      </c>
      <c r="D492" s="2" t="n">
        <v>0.053</v>
      </c>
      <c r="E492" s="2" t="n">
        <v>0.49</v>
      </c>
      <c r="F492" s="2" t="n">
        <v>76</v>
      </c>
      <c r="G492" s="2" t="n">
        <v>400</v>
      </c>
      <c r="H492" s="2" t="n">
        <v>27</v>
      </c>
      <c r="I492" s="2" t="n">
        <v>400</v>
      </c>
      <c r="J492" s="2"/>
      <c r="K492" s="2" t="n">
        <v>1</v>
      </c>
      <c r="L492" s="2" t="n">
        <v>1</v>
      </c>
      <c r="M492" s="2" t="n">
        <v>0</v>
      </c>
      <c r="N492" s="2" t="n">
        <v>0</v>
      </c>
      <c r="O492" s="2" t="n">
        <v>0</v>
      </c>
      <c r="P492" s="2" t="n">
        <v>1</v>
      </c>
      <c r="Q492" s="2" t="n">
        <v>1</v>
      </c>
      <c r="R492" s="2" t="n">
        <v>0</v>
      </c>
      <c r="S492" s="2" t="n">
        <f aca="false">A493-A492</f>
        <v>0.199999999999989</v>
      </c>
      <c r="T492" s="2" t="n">
        <f aca="false">C492+Summary!$C$8*D492</f>
        <v>0.7013195</v>
      </c>
      <c r="U492" s="2" t="n">
        <f aca="false">B492*T492</f>
        <v>8.1570471045</v>
      </c>
      <c r="V492" s="2" t="n">
        <f aca="false">B492*C492</f>
        <v>8.106807</v>
      </c>
      <c r="W492" s="2" t="s">
        <v>74</v>
      </c>
      <c r="X492" s="2" t="s">
        <v>11</v>
      </c>
    </row>
    <row r="493" customFormat="false" ht="15" hidden="false" customHeight="false" outlineLevel="0" collapsed="false">
      <c r="A493" s="2" t="n">
        <v>273.08</v>
      </c>
      <c r="B493" s="2" t="n">
        <v>11.663</v>
      </c>
      <c r="C493" s="2" t="n">
        <v>0.545</v>
      </c>
      <c r="D493" s="2" t="n">
        <v>0.041</v>
      </c>
      <c r="E493" s="2" t="n">
        <v>0.49</v>
      </c>
      <c r="F493" s="2" t="n">
        <v>76</v>
      </c>
      <c r="G493" s="2" t="n">
        <v>400</v>
      </c>
      <c r="H493" s="2" t="n">
        <v>400</v>
      </c>
      <c r="I493" s="2" t="n">
        <v>39</v>
      </c>
      <c r="J493" s="2"/>
      <c r="K493" s="2" t="n">
        <v>1</v>
      </c>
      <c r="L493" s="2" t="n">
        <v>1</v>
      </c>
      <c r="M493" s="2" t="n">
        <v>0</v>
      </c>
      <c r="N493" s="2" t="n">
        <v>0</v>
      </c>
      <c r="O493" s="2" t="n">
        <v>0</v>
      </c>
      <c r="P493" s="2" t="n">
        <v>1</v>
      </c>
      <c r="Q493" s="2" t="n">
        <v>1</v>
      </c>
      <c r="R493" s="2" t="n">
        <v>0</v>
      </c>
      <c r="S493" s="2" t="n">
        <f aca="false">A494-A493</f>
        <v>0.199999999999989</v>
      </c>
      <c r="T493" s="2" t="n">
        <f aca="false">C493+Summary!$C$8*D493</f>
        <v>0.5483415</v>
      </c>
      <c r="U493" s="2" t="n">
        <f aca="false">B493*T493</f>
        <v>6.3953069145</v>
      </c>
      <c r="V493" s="2" t="n">
        <f aca="false">B493*C493</f>
        <v>6.356335</v>
      </c>
      <c r="W493" s="2" t="s">
        <v>74</v>
      </c>
      <c r="X493" s="2" t="s">
        <v>11</v>
      </c>
    </row>
    <row r="494" customFormat="false" ht="15" hidden="false" customHeight="false" outlineLevel="0" collapsed="false">
      <c r="A494" s="2" t="n">
        <v>273.28</v>
      </c>
      <c r="B494" s="2" t="n">
        <v>11.666</v>
      </c>
      <c r="C494" s="2" t="n">
        <v>0.457</v>
      </c>
      <c r="D494" s="2" t="n">
        <v>0.055</v>
      </c>
      <c r="E494" s="2" t="n">
        <v>0.639</v>
      </c>
      <c r="F494" s="2" t="n">
        <v>76</v>
      </c>
      <c r="G494" s="2" t="n">
        <v>400</v>
      </c>
      <c r="H494" s="2" t="n">
        <v>23</v>
      </c>
      <c r="I494" s="2" t="n">
        <v>400</v>
      </c>
      <c r="J494" s="2"/>
      <c r="K494" s="2" t="n">
        <v>1</v>
      </c>
      <c r="L494" s="2" t="n">
        <v>1</v>
      </c>
      <c r="M494" s="2" t="n">
        <v>0</v>
      </c>
      <c r="N494" s="2" t="n">
        <v>0</v>
      </c>
      <c r="O494" s="2" t="n">
        <v>0</v>
      </c>
      <c r="P494" s="2" t="n">
        <v>1</v>
      </c>
      <c r="Q494" s="2" t="n">
        <v>1</v>
      </c>
      <c r="R494" s="2" t="n">
        <v>0</v>
      </c>
      <c r="S494" s="2" t="n">
        <f aca="false">A495-A494</f>
        <v>0.200000000000045</v>
      </c>
      <c r="T494" s="2" t="n">
        <f aca="false">C494+Summary!$C$8*D494</f>
        <v>0.4614825</v>
      </c>
      <c r="U494" s="2" t="n">
        <f aca="false">B494*T494</f>
        <v>5.383654845</v>
      </c>
      <c r="V494" s="2" t="n">
        <f aca="false">B494*C494</f>
        <v>5.331362</v>
      </c>
      <c r="W494" s="2" t="s">
        <v>74</v>
      </c>
      <c r="X494" s="2" t="s">
        <v>11</v>
      </c>
    </row>
    <row r="495" customFormat="false" ht="15" hidden="false" customHeight="false" outlineLevel="0" collapsed="false">
      <c r="A495" s="2" t="n">
        <v>273.48</v>
      </c>
      <c r="B495" s="2" t="n">
        <v>11.685</v>
      </c>
      <c r="C495" s="2" t="n">
        <v>0.462</v>
      </c>
      <c r="D495" s="2" t="n">
        <v>0.06</v>
      </c>
      <c r="E495" s="2" t="n">
        <v>0.694</v>
      </c>
      <c r="F495" s="2" t="n">
        <v>76</v>
      </c>
      <c r="G495" s="2" t="n">
        <v>24</v>
      </c>
      <c r="H495" s="2" t="n">
        <v>400</v>
      </c>
      <c r="I495" s="2" t="n">
        <v>23</v>
      </c>
      <c r="J495" s="2"/>
      <c r="K495" s="2" t="n">
        <v>1</v>
      </c>
      <c r="L495" s="2" t="n">
        <v>1</v>
      </c>
      <c r="M495" s="2" t="n">
        <v>0</v>
      </c>
      <c r="N495" s="2" t="n">
        <v>0</v>
      </c>
      <c r="O495" s="2" t="n">
        <v>0</v>
      </c>
      <c r="P495" s="2" t="n">
        <v>1</v>
      </c>
      <c r="Q495" s="2" t="n">
        <v>1</v>
      </c>
      <c r="R495" s="2" t="n">
        <v>0</v>
      </c>
      <c r="S495" s="2" t="n">
        <f aca="false">A496-A495</f>
        <v>0.199999999999989</v>
      </c>
      <c r="T495" s="2" t="n">
        <f aca="false">C495+Summary!$C$8*D495</f>
        <v>0.46689</v>
      </c>
      <c r="U495" s="2" t="n">
        <f aca="false">B495*T495</f>
        <v>5.45560965</v>
      </c>
      <c r="V495" s="2" t="n">
        <f aca="false">B495*C495</f>
        <v>5.39847</v>
      </c>
      <c r="W495" s="2" t="s">
        <v>74</v>
      </c>
      <c r="X495" s="2" t="s">
        <v>11</v>
      </c>
    </row>
    <row r="496" customFormat="false" ht="15" hidden="false" customHeight="false" outlineLevel="0" collapsed="false">
      <c r="A496" s="2" t="n">
        <v>273.68</v>
      </c>
      <c r="B496" s="2" t="n">
        <v>11.647</v>
      </c>
      <c r="C496" s="2" t="n">
        <v>0.564</v>
      </c>
      <c r="D496" s="2" t="n">
        <v>0.051</v>
      </c>
      <c r="E496" s="2" t="n">
        <v>0.68</v>
      </c>
      <c r="F496" s="2" t="n">
        <v>76</v>
      </c>
      <c r="G496" s="2" t="n">
        <v>400</v>
      </c>
      <c r="H496" s="2" t="n">
        <v>400</v>
      </c>
      <c r="I496" s="2" t="n">
        <v>70</v>
      </c>
      <c r="J496" s="2"/>
      <c r="K496" s="2" t="n">
        <v>1</v>
      </c>
      <c r="L496" s="2" t="n">
        <v>1</v>
      </c>
      <c r="M496" s="2" t="n">
        <v>0</v>
      </c>
      <c r="N496" s="2" t="n">
        <v>0</v>
      </c>
      <c r="O496" s="2" t="n">
        <v>0</v>
      </c>
      <c r="P496" s="2" t="n">
        <v>1</v>
      </c>
      <c r="Q496" s="2" t="n">
        <v>1</v>
      </c>
      <c r="R496" s="2" t="n">
        <v>0</v>
      </c>
      <c r="S496" s="2" t="n">
        <f aca="false">A497-A496</f>
        <v>0.199999999999989</v>
      </c>
      <c r="T496" s="2" t="n">
        <f aca="false">C496+Summary!$C$8*D496</f>
        <v>0.5681565</v>
      </c>
      <c r="U496" s="2" t="n">
        <f aca="false">B496*T496</f>
        <v>6.6173187555</v>
      </c>
      <c r="V496" s="2" t="n">
        <f aca="false">B496*C496</f>
        <v>6.568908</v>
      </c>
      <c r="W496" s="2" t="s">
        <v>74</v>
      </c>
      <c r="X496" s="2" t="s">
        <v>11</v>
      </c>
    </row>
    <row r="497" customFormat="false" ht="15" hidden="false" customHeight="false" outlineLevel="0" collapsed="false">
      <c r="A497" s="2" t="n">
        <v>273.88</v>
      </c>
      <c r="B497" s="2" t="n">
        <v>11.654</v>
      </c>
      <c r="C497" s="2" t="n">
        <v>0.483</v>
      </c>
      <c r="D497" s="2" t="n">
        <v>0.095</v>
      </c>
      <c r="E497" s="2" t="n">
        <v>0.68</v>
      </c>
      <c r="F497" s="2" t="n">
        <v>76</v>
      </c>
      <c r="G497" s="2" t="n">
        <v>400</v>
      </c>
      <c r="H497" s="2" t="n">
        <v>400</v>
      </c>
      <c r="I497" s="2" t="n">
        <v>52</v>
      </c>
      <c r="J497" s="2"/>
      <c r="K497" s="2" t="n">
        <v>1</v>
      </c>
      <c r="L497" s="2" t="n">
        <v>1</v>
      </c>
      <c r="M497" s="2" t="n">
        <v>0</v>
      </c>
      <c r="N497" s="2" t="n">
        <v>0</v>
      </c>
      <c r="O497" s="2" t="n">
        <v>0</v>
      </c>
      <c r="P497" s="2" t="n">
        <v>1</v>
      </c>
      <c r="Q497" s="2" t="n">
        <v>1</v>
      </c>
      <c r="R497" s="2" t="n">
        <v>0</v>
      </c>
      <c r="S497" s="2" t="n">
        <f aca="false">A498-A497</f>
        <v>0.199999999999989</v>
      </c>
      <c r="T497" s="2" t="n">
        <f aca="false">C497+Summary!$C$8*D497</f>
        <v>0.4907425</v>
      </c>
      <c r="U497" s="2" t="n">
        <f aca="false">B497*T497</f>
        <v>5.719113095</v>
      </c>
      <c r="V497" s="2" t="n">
        <f aca="false">B497*C497</f>
        <v>5.628882</v>
      </c>
      <c r="W497" s="2" t="s">
        <v>74</v>
      </c>
      <c r="X497" s="2" t="s">
        <v>11</v>
      </c>
    </row>
    <row r="498" customFormat="false" ht="15" hidden="false" customHeight="false" outlineLevel="0" collapsed="false">
      <c r="A498" s="2" t="n">
        <v>274.08</v>
      </c>
      <c r="B498" s="2" t="n">
        <v>11.678</v>
      </c>
      <c r="C498" s="2" t="n">
        <v>0.473</v>
      </c>
      <c r="D498" s="2" t="n">
        <v>0.171</v>
      </c>
      <c r="E498" s="2" t="n">
        <v>0.68</v>
      </c>
      <c r="F498" s="2" t="n">
        <v>76</v>
      </c>
      <c r="G498" s="2" t="n">
        <v>400</v>
      </c>
      <c r="H498" s="2" t="n">
        <v>35</v>
      </c>
      <c r="I498" s="2" t="n">
        <v>400</v>
      </c>
      <c r="J498" s="2"/>
      <c r="K498" s="2" t="n">
        <v>1</v>
      </c>
      <c r="L498" s="2" t="n">
        <v>1</v>
      </c>
      <c r="M498" s="2" t="n">
        <v>0</v>
      </c>
      <c r="N498" s="2" t="n">
        <v>0</v>
      </c>
      <c r="O498" s="2" t="n">
        <v>0</v>
      </c>
      <c r="P498" s="2" t="n">
        <v>1</v>
      </c>
      <c r="Q498" s="2" t="n">
        <v>1</v>
      </c>
      <c r="R498" s="2" t="n">
        <v>0</v>
      </c>
      <c r="S498" s="2" t="n">
        <f aca="false">A499-A498</f>
        <v>0.199999999999989</v>
      </c>
      <c r="T498" s="2" t="n">
        <f aca="false">C498+Summary!$C$8*D498</f>
        <v>0.4869365</v>
      </c>
      <c r="U498" s="2" t="n">
        <f aca="false">B498*T498</f>
        <v>5.686444447</v>
      </c>
      <c r="V498" s="2" t="n">
        <f aca="false">B498*C498</f>
        <v>5.523694</v>
      </c>
      <c r="W498" s="2" t="s">
        <v>74</v>
      </c>
      <c r="X498" s="2" t="s">
        <v>11</v>
      </c>
    </row>
    <row r="499" customFormat="false" ht="15" hidden="false" customHeight="false" outlineLevel="0" collapsed="false">
      <c r="A499" s="2" t="n">
        <v>274.28</v>
      </c>
      <c r="B499" s="2" t="n">
        <v>11.69</v>
      </c>
      <c r="C499" s="2" t="n">
        <v>0.403</v>
      </c>
      <c r="D499" s="2" t="n">
        <v>0.234</v>
      </c>
      <c r="E499" s="2" t="n">
        <v>0.598</v>
      </c>
      <c r="F499" s="2" t="n">
        <v>76</v>
      </c>
      <c r="G499" s="2" t="n">
        <v>400</v>
      </c>
      <c r="H499" s="2" t="n">
        <v>32</v>
      </c>
      <c r="I499" s="2" t="n">
        <v>42</v>
      </c>
      <c r="J499" s="2"/>
      <c r="K499" s="2" t="n">
        <v>1</v>
      </c>
      <c r="L499" s="2" t="n">
        <v>1</v>
      </c>
      <c r="M499" s="2" t="n">
        <v>0</v>
      </c>
      <c r="N499" s="2" t="n">
        <v>0</v>
      </c>
      <c r="O499" s="2" t="n">
        <v>0</v>
      </c>
      <c r="P499" s="2" t="n">
        <v>1</v>
      </c>
      <c r="Q499" s="2" t="n">
        <v>1</v>
      </c>
      <c r="R499" s="2" t="n">
        <v>0</v>
      </c>
      <c r="S499" s="2" t="n">
        <f aca="false">A500-A499</f>
        <v>0.200000000000045</v>
      </c>
      <c r="T499" s="2" t="n">
        <f aca="false">C499+Summary!$C$8*D499</f>
        <v>0.422071</v>
      </c>
      <c r="U499" s="2" t="n">
        <f aca="false">B499*T499</f>
        <v>4.93400999</v>
      </c>
      <c r="V499" s="2" t="n">
        <f aca="false">B499*C499</f>
        <v>4.71107</v>
      </c>
      <c r="W499" s="2" t="s">
        <v>74</v>
      </c>
      <c r="X499" s="2" t="s">
        <v>11</v>
      </c>
    </row>
    <row r="500" customFormat="false" ht="15" hidden="false" customHeight="false" outlineLevel="0" collapsed="false">
      <c r="A500" s="2" t="n">
        <v>274.48</v>
      </c>
      <c r="B500" s="2" t="n">
        <v>11.748</v>
      </c>
      <c r="C500" s="2" t="n">
        <v>0.294</v>
      </c>
      <c r="D500" s="2" t="n">
        <v>2.987</v>
      </c>
      <c r="E500" s="2" t="n">
        <v>0.34</v>
      </c>
      <c r="F500" s="2" t="n">
        <v>76</v>
      </c>
      <c r="G500" s="2" t="n">
        <v>400</v>
      </c>
      <c r="H500" s="2" t="n">
        <v>47</v>
      </c>
      <c r="I500" s="2" t="n">
        <v>23</v>
      </c>
      <c r="J500" s="2"/>
      <c r="K500" s="2" t="n">
        <v>1</v>
      </c>
      <c r="L500" s="2" t="n">
        <v>1</v>
      </c>
      <c r="M500" s="2" t="n">
        <v>0</v>
      </c>
      <c r="N500" s="2" t="n">
        <v>0</v>
      </c>
      <c r="O500" s="2" t="n">
        <v>0</v>
      </c>
      <c r="P500" s="2" t="n">
        <v>1</v>
      </c>
      <c r="Q500" s="2" t="n">
        <v>1</v>
      </c>
      <c r="R500" s="2" t="n">
        <v>0</v>
      </c>
      <c r="S500" s="2" t="n">
        <f aca="false">A501-A500</f>
        <v>0.199999999999989</v>
      </c>
      <c r="T500" s="2" t="n">
        <f aca="false">C500+Summary!$C$8*D500</f>
        <v>0.5374405</v>
      </c>
      <c r="U500" s="2" t="n">
        <f aca="false">B500*T500</f>
        <v>6.313850994</v>
      </c>
      <c r="V500" s="2" t="n">
        <f aca="false">B500*C500</f>
        <v>3.453912</v>
      </c>
      <c r="W500" s="2" t="s">
        <v>74</v>
      </c>
      <c r="X500" s="2" t="s">
        <v>11</v>
      </c>
    </row>
    <row r="501" customFormat="false" ht="15" hidden="false" customHeight="false" outlineLevel="0" collapsed="false">
      <c r="A501" s="2" t="n">
        <v>274.68</v>
      </c>
      <c r="B501" s="2" t="n">
        <v>11.67</v>
      </c>
      <c r="C501" s="2" t="n">
        <v>0.438</v>
      </c>
      <c r="D501" s="2" t="n">
        <v>0.597</v>
      </c>
      <c r="E501" s="2" t="n">
        <v>0.353</v>
      </c>
      <c r="F501" s="2" t="n">
        <v>76</v>
      </c>
      <c r="G501" s="2" t="n">
        <v>400</v>
      </c>
      <c r="H501" s="2" t="n">
        <v>36</v>
      </c>
      <c r="I501" s="2" t="n">
        <v>400</v>
      </c>
      <c r="J501" s="2"/>
      <c r="K501" s="2" t="n">
        <v>1</v>
      </c>
      <c r="L501" s="2" t="n">
        <v>1</v>
      </c>
      <c r="M501" s="2" t="n">
        <v>0</v>
      </c>
      <c r="N501" s="2" t="n">
        <v>0</v>
      </c>
      <c r="O501" s="2" t="n">
        <v>0</v>
      </c>
      <c r="P501" s="2" t="n">
        <v>1</v>
      </c>
      <c r="Q501" s="2" t="n">
        <v>1</v>
      </c>
      <c r="R501" s="2" t="n">
        <v>0</v>
      </c>
      <c r="S501" s="2" t="n">
        <f aca="false">A502-A501</f>
        <v>0.199999999999989</v>
      </c>
      <c r="T501" s="2" t="n">
        <f aca="false">C501+Summary!$C$8*D501</f>
        <v>0.4866555</v>
      </c>
      <c r="U501" s="2" t="n">
        <f aca="false">B501*T501</f>
        <v>5.679269685</v>
      </c>
      <c r="V501" s="2" t="n">
        <f aca="false">B501*C501</f>
        <v>5.11146</v>
      </c>
      <c r="W501" s="2" t="s">
        <v>74</v>
      </c>
      <c r="X501" s="2" t="s">
        <v>11</v>
      </c>
    </row>
    <row r="502" customFormat="false" ht="15" hidden="false" customHeight="false" outlineLevel="0" collapsed="false">
      <c r="A502" s="2" t="n">
        <v>274.88</v>
      </c>
      <c r="B502" s="2" t="n">
        <v>11.768</v>
      </c>
      <c r="C502" s="2" t="n">
        <v>0.157</v>
      </c>
      <c r="D502" s="2" t="n">
        <v>0.228</v>
      </c>
      <c r="E502" s="2" t="n">
        <v>0.353</v>
      </c>
      <c r="F502" s="2" t="n">
        <v>76</v>
      </c>
      <c r="G502" s="2" t="n">
        <v>400</v>
      </c>
      <c r="H502" s="2" t="n">
        <v>29</v>
      </c>
      <c r="I502" s="2" t="n">
        <v>246</v>
      </c>
      <c r="J502" s="2"/>
      <c r="K502" s="2" t="n">
        <v>1</v>
      </c>
      <c r="L502" s="2" t="n">
        <v>1</v>
      </c>
      <c r="M502" s="2" t="n">
        <v>0</v>
      </c>
      <c r="N502" s="2" t="n">
        <v>0</v>
      </c>
      <c r="O502" s="2" t="n">
        <v>0</v>
      </c>
      <c r="P502" s="2" t="n">
        <v>1</v>
      </c>
      <c r="Q502" s="2" t="n">
        <v>1</v>
      </c>
      <c r="R502" s="2" t="n">
        <v>0</v>
      </c>
      <c r="S502" s="2" t="n">
        <f aca="false">A503-A502</f>
        <v>0.199999999999989</v>
      </c>
      <c r="T502" s="2" t="n">
        <f aca="false">C502+Summary!$C$8*D502</f>
        <v>0.175582</v>
      </c>
      <c r="U502" s="2" t="n">
        <f aca="false">B502*T502</f>
        <v>2.066248976</v>
      </c>
      <c r="V502" s="2" t="n">
        <f aca="false">B502*C502</f>
        <v>1.847576</v>
      </c>
      <c r="W502" s="2" t="s">
        <v>74</v>
      </c>
      <c r="X502" s="2" t="s">
        <v>11</v>
      </c>
    </row>
    <row r="503" customFormat="false" ht="15" hidden="false" customHeight="false" outlineLevel="0" collapsed="false">
      <c r="A503" s="2" t="n">
        <v>275.08</v>
      </c>
      <c r="B503" s="2" t="n">
        <v>11.803</v>
      </c>
      <c r="C503" s="2" t="n">
        <v>0.076</v>
      </c>
      <c r="D503" s="2" t="n">
        <v>0.434</v>
      </c>
      <c r="E503" s="2" t="n">
        <v>0.353</v>
      </c>
      <c r="F503" s="2" t="n">
        <v>76</v>
      </c>
      <c r="G503" s="2" t="n">
        <v>400</v>
      </c>
      <c r="H503" s="2" t="n">
        <v>400</v>
      </c>
      <c r="I503" s="2" t="n">
        <v>229</v>
      </c>
      <c r="J503" s="2"/>
      <c r="K503" s="2" t="n">
        <v>1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1</v>
      </c>
      <c r="Q503" s="2" t="n">
        <v>1</v>
      </c>
      <c r="R503" s="2" t="n">
        <v>0</v>
      </c>
      <c r="S503" s="2" t="n">
        <f aca="false">A504-A503</f>
        <v>0.199999999999989</v>
      </c>
      <c r="T503" s="2" t="n">
        <f aca="false">C503+Summary!$C$8*D503</f>
        <v>0.111371</v>
      </c>
      <c r="U503" s="2" t="n">
        <f aca="false">B503*T503</f>
        <v>1.314511913</v>
      </c>
      <c r="V503" s="2" t="n">
        <f aca="false">B503*C503</f>
        <v>0.897028</v>
      </c>
      <c r="W503" s="2" t="s">
        <v>74</v>
      </c>
      <c r="X503" s="2" t="s">
        <v>11</v>
      </c>
    </row>
    <row r="504" customFormat="false" ht="15" hidden="false" customHeight="false" outlineLevel="0" collapsed="false">
      <c r="A504" s="2" t="n">
        <v>275.28</v>
      </c>
      <c r="B504" s="2" t="n">
        <v>11.8</v>
      </c>
      <c r="C504" s="2" t="n">
        <v>0.088</v>
      </c>
      <c r="D504" s="2" t="n">
        <v>0.279</v>
      </c>
      <c r="E504" s="2" t="n">
        <v>0.258</v>
      </c>
      <c r="F504" s="2" t="n">
        <v>76</v>
      </c>
      <c r="G504" s="2" t="n">
        <v>400</v>
      </c>
      <c r="H504" s="2" t="n">
        <v>41</v>
      </c>
      <c r="I504" s="2" t="n">
        <v>225</v>
      </c>
      <c r="J504" s="2"/>
      <c r="K504" s="2" t="n">
        <v>1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1</v>
      </c>
      <c r="Q504" s="2" t="n">
        <v>1</v>
      </c>
      <c r="R504" s="2" t="n">
        <v>0</v>
      </c>
      <c r="S504" s="2" t="n">
        <f aca="false">A505-A504</f>
        <v>0.200000000000045</v>
      </c>
      <c r="T504" s="2" t="n">
        <f aca="false">C504+Summary!$C$8*D504</f>
        <v>0.1107385</v>
      </c>
      <c r="U504" s="2" t="n">
        <f aca="false">B504*T504</f>
        <v>1.3067143</v>
      </c>
      <c r="V504" s="2" t="n">
        <f aca="false">B504*C504</f>
        <v>1.0384</v>
      </c>
      <c r="W504" s="2" t="s">
        <v>74</v>
      </c>
      <c r="X504" s="2" t="s">
        <v>11</v>
      </c>
    </row>
    <row r="505" customFormat="false" ht="15" hidden="false" customHeight="false" outlineLevel="0" collapsed="false">
      <c r="A505" s="2" t="n">
        <v>275.48</v>
      </c>
      <c r="B505" s="2" t="n">
        <v>11.81</v>
      </c>
      <c r="C505" s="2" t="n">
        <v>0.06</v>
      </c>
      <c r="D505" s="2" t="n">
        <v>0.627</v>
      </c>
      <c r="E505" s="2" t="n">
        <v>0.136</v>
      </c>
      <c r="F505" s="2" t="n">
        <v>76</v>
      </c>
      <c r="G505" s="2" t="n">
        <v>400</v>
      </c>
      <c r="H505" s="2" t="n">
        <v>19</v>
      </c>
      <c r="I505" s="2" t="n">
        <v>400</v>
      </c>
      <c r="J505" s="2"/>
      <c r="K505" s="2" t="n">
        <v>1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1</v>
      </c>
      <c r="Q505" s="2" t="n">
        <v>1</v>
      </c>
      <c r="R505" s="2" t="n">
        <v>0</v>
      </c>
      <c r="S505" s="2" t="n">
        <f aca="false">A506-A505</f>
        <v>0.199999999999989</v>
      </c>
      <c r="T505" s="2" t="n">
        <f aca="false">C505+Summary!$C$8*D505</f>
        <v>0.1111005</v>
      </c>
      <c r="U505" s="2" t="n">
        <f aca="false">B505*T505</f>
        <v>1.312096905</v>
      </c>
      <c r="V505" s="2" t="n">
        <f aca="false">B505*C505</f>
        <v>0.7086</v>
      </c>
      <c r="W505" s="2" t="s">
        <v>74</v>
      </c>
      <c r="X505" s="2" t="s">
        <v>11</v>
      </c>
    </row>
    <row r="506" customFormat="false" ht="15" hidden="false" customHeight="false" outlineLevel="0" collapsed="false">
      <c r="A506" s="2" t="n">
        <v>275.68</v>
      </c>
      <c r="B506" s="2" t="n">
        <v>11.814</v>
      </c>
      <c r="C506" s="2" t="n">
        <v>0.06</v>
      </c>
      <c r="D506" s="2" t="n">
        <v>0.621</v>
      </c>
      <c r="E506" s="2" t="n">
        <v>0.013</v>
      </c>
      <c r="F506" s="2" t="n">
        <v>76</v>
      </c>
      <c r="G506" s="2" t="n">
        <v>400</v>
      </c>
      <c r="H506" s="2" t="n">
        <v>39</v>
      </c>
      <c r="I506" s="2" t="n">
        <v>400</v>
      </c>
      <c r="J506" s="2"/>
      <c r="K506" s="2" t="n">
        <v>1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1</v>
      </c>
      <c r="Q506" s="2" t="n">
        <v>1</v>
      </c>
      <c r="R506" s="2" t="n">
        <v>0</v>
      </c>
      <c r="S506" s="2" t="n">
        <f aca="false">A507-A506</f>
        <v>0.199999999999989</v>
      </c>
      <c r="T506" s="2" t="n">
        <f aca="false">C506+Summary!$C$8*D506</f>
        <v>0.1106115</v>
      </c>
      <c r="U506" s="2" t="n">
        <f aca="false">B506*T506</f>
        <v>1.306764261</v>
      </c>
      <c r="V506" s="2" t="n">
        <f aca="false">B506*C506</f>
        <v>0.70884</v>
      </c>
      <c r="W506" s="2" t="s">
        <v>74</v>
      </c>
      <c r="X506" s="2" t="s">
        <v>11</v>
      </c>
    </row>
    <row r="507" customFormat="false" ht="15" hidden="false" customHeight="false" outlineLevel="0" collapsed="false">
      <c r="A507" s="2" t="n">
        <v>275.88</v>
      </c>
      <c r="B507" s="2" t="n">
        <v>11.647</v>
      </c>
      <c r="C507" s="2" t="n">
        <v>0.65</v>
      </c>
      <c r="D507" s="2" t="n">
        <v>0.677</v>
      </c>
      <c r="E507" s="2" t="n">
        <v>0.013</v>
      </c>
      <c r="F507" s="2" t="n">
        <v>76</v>
      </c>
      <c r="G507" s="2" t="n">
        <v>400</v>
      </c>
      <c r="H507" s="2" t="n">
        <v>39</v>
      </c>
      <c r="I507" s="2" t="n">
        <v>400</v>
      </c>
      <c r="J507" s="2"/>
      <c r="K507" s="2" t="n">
        <v>1</v>
      </c>
      <c r="L507" s="2" t="n">
        <v>1</v>
      </c>
      <c r="M507" s="2" t="n">
        <v>0</v>
      </c>
      <c r="N507" s="2" t="n">
        <v>0</v>
      </c>
      <c r="O507" s="2" t="n">
        <v>0</v>
      </c>
      <c r="P507" s="2" t="n">
        <v>1</v>
      </c>
      <c r="Q507" s="2" t="n">
        <v>1</v>
      </c>
      <c r="R507" s="2" t="n">
        <v>0</v>
      </c>
      <c r="S507" s="2" t="n">
        <f aca="false">A508-A507</f>
        <v>0.199999999999989</v>
      </c>
      <c r="T507" s="2" t="n">
        <f aca="false">C507+Summary!$C$8*D507</f>
        <v>0.7051755</v>
      </c>
      <c r="U507" s="2" t="n">
        <f aca="false">B507*T507</f>
        <v>8.2131790485</v>
      </c>
      <c r="V507" s="2" t="n">
        <f aca="false">B507*C507</f>
        <v>7.57055</v>
      </c>
      <c r="W507" s="2" t="s">
        <v>76</v>
      </c>
      <c r="X507" s="2" t="s">
        <v>11</v>
      </c>
    </row>
    <row r="508" customFormat="false" ht="15" hidden="false" customHeight="false" outlineLevel="0" collapsed="false">
      <c r="A508" s="2" t="n">
        <v>276.08</v>
      </c>
      <c r="B508" s="2" t="n">
        <v>11.51</v>
      </c>
      <c r="C508" s="2" t="n">
        <v>0.931</v>
      </c>
      <c r="D508" s="2" t="n">
        <v>0.834</v>
      </c>
      <c r="E508" s="2" t="n">
        <v>0.013</v>
      </c>
      <c r="F508" s="2" t="n">
        <v>76</v>
      </c>
      <c r="G508" s="2" t="n">
        <v>400</v>
      </c>
      <c r="H508" s="2" t="n">
        <v>400</v>
      </c>
      <c r="I508" s="2" t="n">
        <v>231</v>
      </c>
      <c r="J508" s="2"/>
      <c r="K508" s="2" t="n">
        <v>1</v>
      </c>
      <c r="L508" s="2" t="n">
        <v>1</v>
      </c>
      <c r="M508" s="2" t="n">
        <v>0</v>
      </c>
      <c r="N508" s="2" t="n">
        <v>0</v>
      </c>
      <c r="O508" s="2" t="n">
        <v>0</v>
      </c>
      <c r="P508" s="2" t="n">
        <v>1</v>
      </c>
      <c r="Q508" s="2" t="n">
        <v>1</v>
      </c>
      <c r="R508" s="2" t="n">
        <v>0</v>
      </c>
      <c r="S508" s="2" t="n">
        <f aca="false">A509-A508</f>
        <v>0.199999999999989</v>
      </c>
      <c r="T508" s="2" t="n">
        <f aca="false">C508+Summary!$C$8*D508</f>
        <v>0.998971</v>
      </c>
      <c r="U508" s="2" t="n">
        <f aca="false">B508*T508</f>
        <v>11.49815621</v>
      </c>
      <c r="V508" s="2" t="n">
        <f aca="false">B508*C508</f>
        <v>10.71581</v>
      </c>
      <c r="W508" s="2" t="s">
        <v>76</v>
      </c>
      <c r="X508" s="2" t="s">
        <v>11</v>
      </c>
    </row>
    <row r="509" customFormat="false" ht="15" hidden="false" customHeight="false" outlineLevel="0" collapsed="false">
      <c r="A509" s="2" t="n">
        <v>276.28</v>
      </c>
      <c r="B509" s="2" t="n">
        <v>11.65</v>
      </c>
      <c r="C509" s="2" t="n">
        <v>0.463</v>
      </c>
      <c r="D509" s="2" t="n">
        <v>3.037</v>
      </c>
      <c r="E509" s="2" t="n">
        <v>0.122</v>
      </c>
      <c r="F509" s="2" t="n">
        <v>76</v>
      </c>
      <c r="G509" s="2" t="n">
        <v>400</v>
      </c>
      <c r="H509" s="2" t="n">
        <v>22</v>
      </c>
      <c r="I509" s="2" t="n">
        <v>207</v>
      </c>
      <c r="J509" s="2"/>
      <c r="K509" s="2" t="n">
        <v>1</v>
      </c>
      <c r="L509" s="2" t="n">
        <v>1</v>
      </c>
      <c r="M509" s="2" t="n">
        <v>0</v>
      </c>
      <c r="N509" s="2" t="n">
        <v>0</v>
      </c>
      <c r="O509" s="2" t="n">
        <v>0</v>
      </c>
      <c r="P509" s="2" t="n">
        <v>1</v>
      </c>
      <c r="Q509" s="2" t="n">
        <v>1</v>
      </c>
      <c r="R509" s="2" t="n">
        <v>0</v>
      </c>
      <c r="S509" s="2" t="n">
        <f aca="false">A510-A509</f>
        <v>0.200000000000045</v>
      </c>
      <c r="T509" s="2" t="n">
        <f aca="false">C509+Summary!$C$8*D509</f>
        <v>0.7105155</v>
      </c>
      <c r="U509" s="2" t="n">
        <f aca="false">B509*T509</f>
        <v>8.277505575</v>
      </c>
      <c r="V509" s="2" t="n">
        <f aca="false">B509*C509</f>
        <v>5.39395</v>
      </c>
      <c r="W509" s="2" t="s">
        <v>76</v>
      </c>
      <c r="X509" s="2" t="s">
        <v>11</v>
      </c>
    </row>
    <row r="510" customFormat="false" ht="15" hidden="false" customHeight="false" outlineLevel="0" collapsed="false">
      <c r="A510" s="2" t="n">
        <v>276.48</v>
      </c>
      <c r="B510" s="2" t="n">
        <v>11.661</v>
      </c>
      <c r="C510" s="2" t="n">
        <v>0.458</v>
      </c>
      <c r="D510" s="2" t="n">
        <v>2.576</v>
      </c>
      <c r="E510" s="2" t="n">
        <v>0.299</v>
      </c>
      <c r="F510" s="2" t="n">
        <v>76</v>
      </c>
      <c r="G510" s="2" t="n">
        <v>400</v>
      </c>
      <c r="H510" s="2" t="n">
        <v>400</v>
      </c>
      <c r="I510" s="2" t="n">
        <v>200</v>
      </c>
      <c r="J510" s="2"/>
      <c r="K510" s="2" t="n">
        <v>1</v>
      </c>
      <c r="L510" s="2" t="n">
        <v>1</v>
      </c>
      <c r="M510" s="2" t="n">
        <v>0</v>
      </c>
      <c r="N510" s="2" t="n">
        <v>0</v>
      </c>
      <c r="O510" s="2" t="n">
        <v>0</v>
      </c>
      <c r="P510" s="2" t="n">
        <v>1</v>
      </c>
      <c r="Q510" s="2" t="n">
        <v>1</v>
      </c>
      <c r="R510" s="2" t="n">
        <v>0</v>
      </c>
      <c r="S510" s="2" t="n">
        <f aca="false">A511-A510</f>
        <v>0.199999999999989</v>
      </c>
      <c r="T510" s="2" t="n">
        <f aca="false">C510+Summary!$C$8*D510</f>
        <v>0.667944</v>
      </c>
      <c r="U510" s="2" t="n">
        <f aca="false">B510*T510</f>
        <v>7.788894984</v>
      </c>
      <c r="V510" s="2" t="n">
        <f aca="false">B510*C510</f>
        <v>5.340738</v>
      </c>
      <c r="W510" s="2" t="s">
        <v>76</v>
      </c>
      <c r="X510" s="2" t="s">
        <v>11</v>
      </c>
    </row>
    <row r="511" customFormat="false" ht="15" hidden="false" customHeight="false" outlineLevel="0" collapsed="false">
      <c r="A511" s="2" t="n">
        <v>276.68</v>
      </c>
      <c r="B511" s="2" t="n">
        <v>11.716</v>
      </c>
      <c r="C511" s="2" t="n">
        <v>0.374</v>
      </c>
      <c r="D511" s="2" t="n">
        <v>2.147</v>
      </c>
      <c r="E511" s="2" t="n">
        <v>0.394</v>
      </c>
      <c r="F511" s="2" t="n">
        <v>76</v>
      </c>
      <c r="G511" s="2" t="n">
        <v>400</v>
      </c>
      <c r="H511" s="2" t="n">
        <v>400</v>
      </c>
      <c r="I511" s="2" t="n">
        <v>194</v>
      </c>
      <c r="J511" s="2"/>
      <c r="K511" s="2" t="n">
        <v>1</v>
      </c>
      <c r="L511" s="2" t="n">
        <v>1</v>
      </c>
      <c r="M511" s="2" t="n">
        <v>0</v>
      </c>
      <c r="N511" s="2" t="n">
        <v>0</v>
      </c>
      <c r="O511" s="2" t="n">
        <v>0</v>
      </c>
      <c r="P511" s="2" t="n">
        <v>1</v>
      </c>
      <c r="Q511" s="2" t="n">
        <v>1</v>
      </c>
      <c r="R511" s="2" t="n">
        <v>0</v>
      </c>
      <c r="S511" s="2" t="n">
        <f aca="false">A512-A511</f>
        <v>0.199999999999989</v>
      </c>
      <c r="T511" s="2" t="n">
        <f aca="false">C511+Summary!$C$8*D511</f>
        <v>0.5489805</v>
      </c>
      <c r="U511" s="2" t="n">
        <f aca="false">B511*T511</f>
        <v>6.431855538</v>
      </c>
      <c r="V511" s="2" t="n">
        <f aca="false">B511*C511</f>
        <v>4.381784</v>
      </c>
      <c r="W511" s="2" t="s">
        <v>76</v>
      </c>
      <c r="X511" s="2" t="s">
        <v>11</v>
      </c>
    </row>
    <row r="512" customFormat="false" ht="15" hidden="false" customHeight="false" outlineLevel="0" collapsed="false">
      <c r="A512" s="2" t="n">
        <v>276.88</v>
      </c>
      <c r="B512" s="2" t="n">
        <v>11.64</v>
      </c>
      <c r="C512" s="2" t="n">
        <v>0.582</v>
      </c>
      <c r="D512" s="2" t="n">
        <v>0.172</v>
      </c>
      <c r="E512" s="2" t="n">
        <v>0.408</v>
      </c>
      <c r="F512" s="2" t="n">
        <v>76</v>
      </c>
      <c r="G512" s="2" t="n">
        <v>400</v>
      </c>
      <c r="H512" s="2" t="n">
        <v>22</v>
      </c>
      <c r="I512" s="2" t="n">
        <v>182</v>
      </c>
      <c r="J512" s="2"/>
      <c r="K512" s="2" t="n">
        <v>1</v>
      </c>
      <c r="L512" s="2" t="n">
        <v>1</v>
      </c>
      <c r="M512" s="2" t="n">
        <v>0</v>
      </c>
      <c r="N512" s="2" t="n">
        <v>0</v>
      </c>
      <c r="O512" s="2" t="n">
        <v>0</v>
      </c>
      <c r="P512" s="2" t="n">
        <v>1</v>
      </c>
      <c r="Q512" s="2" t="n">
        <v>1</v>
      </c>
      <c r="R512" s="2" t="n">
        <v>0</v>
      </c>
      <c r="S512" s="2" t="n">
        <f aca="false">A513-A512</f>
        <v>0.199999999999989</v>
      </c>
      <c r="T512" s="2" t="n">
        <f aca="false">C512+Summary!$C$8*D512</f>
        <v>0.596018</v>
      </c>
      <c r="U512" s="2" t="n">
        <f aca="false">B512*T512</f>
        <v>6.93764952</v>
      </c>
      <c r="V512" s="2" t="n">
        <f aca="false">B512*C512</f>
        <v>6.77448</v>
      </c>
      <c r="W512" s="2" t="s">
        <v>76</v>
      </c>
      <c r="X512" s="2" t="s">
        <v>11</v>
      </c>
    </row>
    <row r="513" customFormat="false" ht="15" hidden="false" customHeight="false" outlineLevel="0" collapsed="false">
      <c r="A513" s="2" t="n">
        <v>277.08</v>
      </c>
      <c r="B513" s="2" t="n">
        <v>11.662</v>
      </c>
      <c r="C513" s="2" t="n">
        <v>0.536</v>
      </c>
      <c r="D513" s="2" t="n">
        <v>0.193</v>
      </c>
      <c r="E513" s="2" t="n">
        <v>0.408</v>
      </c>
      <c r="F513" s="2" t="n">
        <v>76</v>
      </c>
      <c r="G513" s="2" t="n">
        <v>400</v>
      </c>
      <c r="H513" s="2" t="n">
        <v>400</v>
      </c>
      <c r="I513" s="2" t="n">
        <v>167</v>
      </c>
      <c r="J513" s="2"/>
      <c r="K513" s="2" t="n">
        <v>1</v>
      </c>
      <c r="L513" s="2" t="n">
        <v>1</v>
      </c>
      <c r="M513" s="2" t="n">
        <v>0</v>
      </c>
      <c r="N513" s="2" t="n">
        <v>0</v>
      </c>
      <c r="O513" s="2" t="n">
        <v>0</v>
      </c>
      <c r="P513" s="2" t="n">
        <v>1</v>
      </c>
      <c r="Q513" s="2" t="n">
        <v>1</v>
      </c>
      <c r="R513" s="2" t="n">
        <v>0</v>
      </c>
      <c r="S513" s="2" t="n">
        <f aca="false">A514-A513</f>
        <v>0.199999999999989</v>
      </c>
      <c r="T513" s="2" t="n">
        <f aca="false">C513+Summary!$C$8*D513</f>
        <v>0.5517295</v>
      </c>
      <c r="U513" s="2" t="n">
        <f aca="false">B513*T513</f>
        <v>6.434269429</v>
      </c>
      <c r="V513" s="2" t="n">
        <f aca="false">B513*C513</f>
        <v>6.250832</v>
      </c>
      <c r="W513" s="2" t="s">
        <v>76</v>
      </c>
      <c r="X513" s="2" t="s">
        <v>11</v>
      </c>
    </row>
    <row r="514" customFormat="false" ht="15" hidden="false" customHeight="false" outlineLevel="0" collapsed="false">
      <c r="A514" s="2" t="n">
        <v>277.28</v>
      </c>
      <c r="B514" s="2" t="n">
        <v>11.649</v>
      </c>
      <c r="C514" s="2" t="n">
        <v>0.5</v>
      </c>
      <c r="D514" s="2" t="n">
        <v>0.138</v>
      </c>
      <c r="E514" s="2" t="n">
        <v>0.707</v>
      </c>
      <c r="F514" s="2" t="n">
        <v>76</v>
      </c>
      <c r="G514" s="2" t="n">
        <v>400</v>
      </c>
      <c r="H514" s="2" t="n">
        <v>400</v>
      </c>
      <c r="I514" s="2" t="n">
        <v>157</v>
      </c>
      <c r="J514" s="2"/>
      <c r="K514" s="2" t="n">
        <v>1</v>
      </c>
      <c r="L514" s="2" t="n">
        <v>1</v>
      </c>
      <c r="M514" s="2" t="n">
        <v>0</v>
      </c>
      <c r="N514" s="2" t="n">
        <v>0</v>
      </c>
      <c r="O514" s="2" t="n">
        <v>0</v>
      </c>
      <c r="P514" s="2" t="n">
        <v>1</v>
      </c>
      <c r="Q514" s="2" t="n">
        <v>1</v>
      </c>
      <c r="R514" s="2" t="n">
        <v>0</v>
      </c>
      <c r="S514" s="2" t="n">
        <f aca="false">A515-A514</f>
        <v>0.200000000000045</v>
      </c>
      <c r="T514" s="2" t="n">
        <f aca="false">C514+Summary!$C$8*D514</f>
        <v>0.511247</v>
      </c>
      <c r="U514" s="2" t="n">
        <f aca="false">B514*T514</f>
        <v>5.955516303</v>
      </c>
      <c r="V514" s="2" t="n">
        <f aca="false">B514*C514</f>
        <v>5.8245</v>
      </c>
      <c r="W514" s="2" t="s">
        <v>76</v>
      </c>
      <c r="X514" s="2" t="s">
        <v>11</v>
      </c>
    </row>
    <row r="515" customFormat="false" ht="15" hidden="false" customHeight="false" outlineLevel="0" collapsed="false">
      <c r="A515" s="2" t="n">
        <v>277.48</v>
      </c>
      <c r="B515" s="2" t="n">
        <v>11.672</v>
      </c>
      <c r="C515" s="2" t="n">
        <v>0.481</v>
      </c>
      <c r="D515" s="2" t="n">
        <v>0.06</v>
      </c>
      <c r="E515" s="2" t="n">
        <v>0.694</v>
      </c>
      <c r="F515" s="2" t="n">
        <v>76</v>
      </c>
      <c r="G515" s="2" t="n">
        <v>400</v>
      </c>
      <c r="H515" s="2" t="n">
        <v>400</v>
      </c>
      <c r="I515" s="2" t="n">
        <v>144</v>
      </c>
      <c r="J515" s="2"/>
      <c r="K515" s="2" t="n">
        <v>1</v>
      </c>
      <c r="L515" s="2" t="n">
        <v>1</v>
      </c>
      <c r="M515" s="2" t="n">
        <v>0</v>
      </c>
      <c r="N515" s="2" t="n">
        <v>0</v>
      </c>
      <c r="O515" s="2" t="n">
        <v>0</v>
      </c>
      <c r="P515" s="2" t="n">
        <v>1</v>
      </c>
      <c r="Q515" s="2" t="n">
        <v>1</v>
      </c>
      <c r="R515" s="2" t="n">
        <v>0</v>
      </c>
      <c r="S515" s="2" t="n">
        <f aca="false">A516-A515</f>
        <v>0.199999999999989</v>
      </c>
      <c r="T515" s="2" t="n">
        <f aca="false">C515+Summary!$C$8*D515</f>
        <v>0.48589</v>
      </c>
      <c r="U515" s="2" t="n">
        <f aca="false">B515*T515</f>
        <v>5.67130808</v>
      </c>
      <c r="V515" s="2" t="n">
        <f aca="false">B515*C515</f>
        <v>5.614232</v>
      </c>
      <c r="W515" s="2" t="s">
        <v>76</v>
      </c>
      <c r="X515" s="2" t="s">
        <v>11</v>
      </c>
    </row>
    <row r="516" customFormat="false" ht="15" hidden="false" customHeight="false" outlineLevel="0" collapsed="false">
      <c r="A516" s="2" t="n">
        <v>277.68</v>
      </c>
      <c r="B516" s="2" t="n">
        <v>11.677</v>
      </c>
      <c r="C516" s="2" t="n">
        <v>0.479</v>
      </c>
      <c r="D516" s="2" t="n">
        <v>0.045</v>
      </c>
      <c r="E516" s="2" t="n">
        <v>0.735</v>
      </c>
      <c r="F516" s="2" t="n">
        <v>76</v>
      </c>
      <c r="G516" s="2" t="n">
        <v>400</v>
      </c>
      <c r="H516" s="2" t="n">
        <v>38</v>
      </c>
      <c r="I516" s="2" t="n">
        <v>143</v>
      </c>
      <c r="J516" s="2"/>
      <c r="K516" s="2" t="n">
        <v>1</v>
      </c>
      <c r="L516" s="2" t="n">
        <v>1</v>
      </c>
      <c r="M516" s="2" t="n">
        <v>0</v>
      </c>
      <c r="N516" s="2" t="n">
        <v>0</v>
      </c>
      <c r="O516" s="2" t="n">
        <v>0</v>
      </c>
      <c r="P516" s="2" t="n">
        <v>1</v>
      </c>
      <c r="Q516" s="2" t="n">
        <v>1</v>
      </c>
      <c r="R516" s="2" t="n">
        <v>0</v>
      </c>
      <c r="S516" s="2" t="n">
        <f aca="false">A517-A516</f>
        <v>0.199999999999989</v>
      </c>
      <c r="T516" s="2" t="n">
        <f aca="false">C516+Summary!$C$8*D516</f>
        <v>0.4826675</v>
      </c>
      <c r="U516" s="2" t="n">
        <f aca="false">B516*T516</f>
        <v>5.6361083975</v>
      </c>
      <c r="V516" s="2" t="n">
        <f aca="false">B516*C516</f>
        <v>5.593283</v>
      </c>
      <c r="W516" s="2" t="s">
        <v>76</v>
      </c>
      <c r="X516" s="2" t="s">
        <v>11</v>
      </c>
    </row>
    <row r="517" customFormat="false" ht="15" hidden="false" customHeight="false" outlineLevel="0" collapsed="false">
      <c r="A517" s="2" t="n">
        <v>277.88</v>
      </c>
      <c r="B517" s="2" t="n">
        <v>11.692</v>
      </c>
      <c r="C517" s="2" t="n">
        <v>0.455</v>
      </c>
      <c r="D517" s="2" t="n">
        <v>0.083</v>
      </c>
      <c r="E517" s="2" t="n">
        <v>0.735</v>
      </c>
      <c r="F517" s="2" t="n">
        <v>76</v>
      </c>
      <c r="G517" s="2" t="n">
        <v>400</v>
      </c>
      <c r="H517" s="2" t="n">
        <v>61</v>
      </c>
      <c r="I517" s="2" t="n">
        <v>400</v>
      </c>
      <c r="J517" s="2"/>
      <c r="K517" s="2" t="n">
        <v>1</v>
      </c>
      <c r="L517" s="2" t="n">
        <v>1</v>
      </c>
      <c r="M517" s="2" t="n">
        <v>0</v>
      </c>
      <c r="N517" s="2" t="n">
        <v>0</v>
      </c>
      <c r="O517" s="2" t="n">
        <v>0</v>
      </c>
      <c r="P517" s="2" t="n">
        <v>1</v>
      </c>
      <c r="Q517" s="2" t="n">
        <v>1</v>
      </c>
      <c r="R517" s="2" t="n">
        <v>0</v>
      </c>
      <c r="S517" s="2" t="n">
        <f aca="false">A518-A517</f>
        <v>0.199999999999989</v>
      </c>
      <c r="T517" s="2" t="n">
        <f aca="false">C517+Summary!$C$8*D517</f>
        <v>0.4617645</v>
      </c>
      <c r="U517" s="2" t="n">
        <f aca="false">B517*T517</f>
        <v>5.398950534</v>
      </c>
      <c r="V517" s="2" t="n">
        <f aca="false">B517*C517</f>
        <v>5.31986</v>
      </c>
      <c r="W517" s="2" t="s">
        <v>76</v>
      </c>
      <c r="X517" s="2" t="s">
        <v>11</v>
      </c>
    </row>
    <row r="518" customFormat="false" ht="15" hidden="false" customHeight="false" outlineLevel="0" collapsed="false">
      <c r="A518" s="2" t="n">
        <v>278.08</v>
      </c>
      <c r="B518" s="2" t="n">
        <v>11.682</v>
      </c>
      <c r="C518" s="2" t="n">
        <v>0.465</v>
      </c>
      <c r="D518" s="2" t="n">
        <v>0.153</v>
      </c>
      <c r="E518" s="2" t="n">
        <v>0.735</v>
      </c>
      <c r="F518" s="2" t="n">
        <v>76</v>
      </c>
      <c r="G518" s="2" t="n">
        <v>400</v>
      </c>
      <c r="H518" s="2" t="n">
        <v>46</v>
      </c>
      <c r="I518" s="2" t="n">
        <v>400</v>
      </c>
      <c r="J518" s="2"/>
      <c r="K518" s="2" t="n">
        <v>1</v>
      </c>
      <c r="L518" s="2" t="n">
        <v>1</v>
      </c>
      <c r="M518" s="2" t="n">
        <v>0</v>
      </c>
      <c r="N518" s="2" t="n">
        <v>0</v>
      </c>
      <c r="O518" s="2" t="n">
        <v>0</v>
      </c>
      <c r="P518" s="2" t="n">
        <v>1</v>
      </c>
      <c r="Q518" s="2" t="n">
        <v>1</v>
      </c>
      <c r="R518" s="2" t="n">
        <v>0</v>
      </c>
      <c r="S518" s="2" t="n">
        <f aca="false">A519-A518</f>
        <v>0.199999999999989</v>
      </c>
      <c r="T518" s="2" t="n">
        <f aca="false">C518+Summary!$C$8*D518</f>
        <v>0.4774695</v>
      </c>
      <c r="U518" s="2" t="n">
        <f aca="false">B518*T518</f>
        <v>5.577798699</v>
      </c>
      <c r="V518" s="2" t="n">
        <f aca="false">B518*C518</f>
        <v>5.43213</v>
      </c>
      <c r="W518" s="2" t="s">
        <v>76</v>
      </c>
      <c r="X518" s="2" t="s">
        <v>11</v>
      </c>
    </row>
    <row r="519" customFormat="false" ht="15" hidden="false" customHeight="false" outlineLevel="0" collapsed="false">
      <c r="A519" s="2" t="n">
        <v>278.28</v>
      </c>
      <c r="B519" s="2" t="n">
        <v>11.681</v>
      </c>
      <c r="C519" s="2" t="n">
        <v>0.416</v>
      </c>
      <c r="D519" s="2" t="n">
        <v>0.197</v>
      </c>
      <c r="E519" s="2" t="n">
        <v>0.598</v>
      </c>
      <c r="F519" s="2" t="n">
        <v>76</v>
      </c>
      <c r="G519" s="2" t="n">
        <v>400</v>
      </c>
      <c r="H519" s="2" t="n">
        <v>400</v>
      </c>
      <c r="I519" s="2" t="n">
        <v>400</v>
      </c>
      <c r="J519" s="2"/>
      <c r="K519" s="2" t="n">
        <v>1</v>
      </c>
      <c r="L519" s="2" t="n">
        <v>1</v>
      </c>
      <c r="M519" s="2" t="n">
        <v>0</v>
      </c>
      <c r="N519" s="2" t="n">
        <v>0</v>
      </c>
      <c r="O519" s="2" t="n">
        <v>0</v>
      </c>
      <c r="P519" s="2" t="n">
        <v>1</v>
      </c>
      <c r="Q519" s="2" t="n">
        <v>1</v>
      </c>
      <c r="R519" s="2" t="n">
        <v>0</v>
      </c>
      <c r="S519" s="2" t="n">
        <f aca="false">A520-A519</f>
        <v>0.200000000000045</v>
      </c>
      <c r="T519" s="2" t="n">
        <f aca="false">C519+Summary!$C$8*D519</f>
        <v>0.4320555</v>
      </c>
      <c r="U519" s="2" t="n">
        <f aca="false">B519*T519</f>
        <v>5.0468402955</v>
      </c>
      <c r="V519" s="2" t="n">
        <f aca="false">B519*C519</f>
        <v>4.859296</v>
      </c>
      <c r="W519" s="2" t="s">
        <v>76</v>
      </c>
      <c r="X519" s="2" t="s">
        <v>11</v>
      </c>
    </row>
    <row r="520" customFormat="false" ht="15" hidden="false" customHeight="false" outlineLevel="0" collapsed="false">
      <c r="A520" s="2" t="n">
        <v>278.48</v>
      </c>
      <c r="B520" s="2" t="n">
        <v>11.668</v>
      </c>
      <c r="C520" s="2" t="n">
        <v>0.477</v>
      </c>
      <c r="D520" s="2" t="n">
        <v>0.18</v>
      </c>
      <c r="E520" s="2" t="n">
        <v>0.49</v>
      </c>
      <c r="F520" s="2" t="n">
        <v>76</v>
      </c>
      <c r="G520" s="2" t="n">
        <v>18</v>
      </c>
      <c r="H520" s="2" t="n">
        <v>34</v>
      </c>
      <c r="I520" s="2" t="n">
        <v>400</v>
      </c>
      <c r="J520" s="2"/>
      <c r="K520" s="2" t="n">
        <v>1</v>
      </c>
      <c r="L520" s="2" t="n">
        <v>1</v>
      </c>
      <c r="M520" s="2" t="n">
        <v>0</v>
      </c>
      <c r="N520" s="2" t="n">
        <v>0</v>
      </c>
      <c r="O520" s="2" t="n">
        <v>0</v>
      </c>
      <c r="P520" s="2" t="n">
        <v>1</v>
      </c>
      <c r="Q520" s="2" t="n">
        <v>1</v>
      </c>
      <c r="R520" s="2" t="n">
        <v>0</v>
      </c>
      <c r="S520" s="2" t="n">
        <f aca="false">A521-A520</f>
        <v>0.199999999999989</v>
      </c>
      <c r="T520" s="2" t="n">
        <f aca="false">C520+Summary!$C$8*D520</f>
        <v>0.49167</v>
      </c>
      <c r="U520" s="2" t="n">
        <f aca="false">B520*T520</f>
        <v>5.73680556</v>
      </c>
      <c r="V520" s="2" t="n">
        <f aca="false">B520*C520</f>
        <v>5.565636</v>
      </c>
      <c r="W520" s="2" t="s">
        <v>76</v>
      </c>
      <c r="X520" s="2" t="s">
        <v>11</v>
      </c>
    </row>
    <row r="521" customFormat="false" ht="15" hidden="false" customHeight="false" outlineLevel="0" collapsed="false">
      <c r="A521" s="2" t="n">
        <v>278.68</v>
      </c>
      <c r="B521" s="2" t="n">
        <v>11.766</v>
      </c>
      <c r="C521" s="2" t="n">
        <v>0.184</v>
      </c>
      <c r="D521" s="2" t="n">
        <v>0.134</v>
      </c>
      <c r="E521" s="2" t="n">
        <v>0.53</v>
      </c>
      <c r="F521" s="2" t="n">
        <v>76</v>
      </c>
      <c r="G521" s="2" t="n">
        <v>400</v>
      </c>
      <c r="H521" s="2" t="n">
        <v>400</v>
      </c>
      <c r="I521" s="2" t="n">
        <v>400</v>
      </c>
      <c r="J521" s="2"/>
      <c r="K521" s="2" t="n">
        <v>1</v>
      </c>
      <c r="L521" s="2" t="n">
        <v>1</v>
      </c>
      <c r="M521" s="2" t="n">
        <v>0</v>
      </c>
      <c r="N521" s="2" t="n">
        <v>0</v>
      </c>
      <c r="O521" s="2" t="n">
        <v>0</v>
      </c>
      <c r="P521" s="2" t="n">
        <v>1</v>
      </c>
      <c r="Q521" s="2" t="n">
        <v>1</v>
      </c>
      <c r="R521" s="2" t="n">
        <v>0</v>
      </c>
      <c r="S521" s="2" t="n">
        <f aca="false">A522-A521</f>
        <v>0.199999999999989</v>
      </c>
      <c r="T521" s="2" t="n">
        <f aca="false">C521+Summary!$C$8*D521</f>
        <v>0.194921</v>
      </c>
      <c r="U521" s="2" t="n">
        <f aca="false">B521*T521</f>
        <v>2.293440486</v>
      </c>
      <c r="V521" s="2" t="n">
        <f aca="false">B521*C521</f>
        <v>2.164944</v>
      </c>
      <c r="W521" s="2" t="s">
        <v>76</v>
      </c>
      <c r="X521" s="2" t="s">
        <v>11</v>
      </c>
    </row>
    <row r="522" customFormat="false" ht="15" hidden="false" customHeight="false" outlineLevel="0" collapsed="false">
      <c r="A522" s="2" t="n">
        <v>278.88</v>
      </c>
      <c r="B522" s="2" t="n">
        <v>11.797</v>
      </c>
      <c r="C522" s="2" t="n">
        <v>0.099</v>
      </c>
      <c r="D522" s="2" t="n">
        <v>0.147</v>
      </c>
      <c r="E522" s="2" t="n">
        <v>0.381</v>
      </c>
      <c r="F522" s="2" t="n">
        <v>76</v>
      </c>
      <c r="G522" s="2" t="n">
        <v>400</v>
      </c>
      <c r="H522" s="2" t="n">
        <v>400</v>
      </c>
      <c r="I522" s="2" t="n">
        <v>400</v>
      </c>
      <c r="J522" s="2"/>
      <c r="K522" s="2" t="n">
        <v>1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1</v>
      </c>
      <c r="Q522" s="2" t="n">
        <v>1</v>
      </c>
      <c r="R522" s="2" t="n">
        <v>0</v>
      </c>
      <c r="S522" s="2" t="n">
        <f aca="false">A523-A522</f>
        <v>0.199999999999989</v>
      </c>
      <c r="T522" s="2" t="n">
        <f aca="false">C522+Summary!$C$8*D522</f>
        <v>0.1109805</v>
      </c>
      <c r="U522" s="2" t="n">
        <f aca="false">B522*T522</f>
        <v>1.3092369585</v>
      </c>
      <c r="V522" s="2" t="n">
        <f aca="false">B522*C522</f>
        <v>1.167903</v>
      </c>
      <c r="W522" s="2" t="s">
        <v>76</v>
      </c>
      <c r="X522" s="2" t="s">
        <v>11</v>
      </c>
    </row>
    <row r="523" customFormat="false" ht="15" hidden="false" customHeight="false" outlineLevel="0" collapsed="false">
      <c r="A523" s="2" t="n">
        <v>279.08</v>
      </c>
      <c r="B523" s="2" t="n">
        <v>11.798</v>
      </c>
      <c r="C523" s="2" t="n">
        <v>0.119</v>
      </c>
      <c r="D523" s="2" t="n">
        <v>0.159</v>
      </c>
      <c r="E523" s="2" t="n">
        <v>0.381</v>
      </c>
      <c r="F523" s="2" t="n">
        <v>76</v>
      </c>
      <c r="G523" s="2" t="n">
        <v>400</v>
      </c>
      <c r="H523" s="2" t="n">
        <v>400</v>
      </c>
      <c r="I523" s="2" t="n">
        <v>400</v>
      </c>
      <c r="J523" s="2"/>
      <c r="K523" s="2" t="n">
        <v>1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1</v>
      </c>
      <c r="Q523" s="2" t="n">
        <v>1</v>
      </c>
      <c r="R523" s="2" t="n">
        <v>0</v>
      </c>
      <c r="S523" s="2" t="n">
        <f aca="false">A524-A523</f>
        <v>0.199999999999989</v>
      </c>
      <c r="T523" s="2" t="n">
        <f aca="false">C523+Summary!$C$8*D523</f>
        <v>0.1319585</v>
      </c>
      <c r="U523" s="2" t="n">
        <f aca="false">B523*T523</f>
        <v>1.556846383</v>
      </c>
      <c r="V523" s="2" t="n">
        <f aca="false">B523*C523</f>
        <v>1.403962</v>
      </c>
      <c r="W523" s="2" t="s">
        <v>76</v>
      </c>
      <c r="X523" s="2" t="s">
        <v>11</v>
      </c>
    </row>
    <row r="524" customFormat="false" ht="15" hidden="false" customHeight="false" outlineLevel="0" collapsed="false">
      <c r="A524" s="2" t="n">
        <v>279.28</v>
      </c>
      <c r="B524" s="2" t="n">
        <v>11.797</v>
      </c>
      <c r="C524" s="2" t="n">
        <v>0.1</v>
      </c>
      <c r="D524" s="2" t="n">
        <v>0.155</v>
      </c>
      <c r="E524" s="2" t="n">
        <v>0.136</v>
      </c>
      <c r="F524" s="2" t="n">
        <v>76</v>
      </c>
      <c r="G524" s="2" t="n">
        <v>400</v>
      </c>
      <c r="H524" s="2" t="n">
        <v>400</v>
      </c>
      <c r="I524" s="2" t="n">
        <v>400</v>
      </c>
      <c r="J524" s="2"/>
      <c r="K524" s="2" t="n">
        <v>1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1</v>
      </c>
      <c r="Q524" s="2" t="n">
        <v>1</v>
      </c>
      <c r="R524" s="2" t="n">
        <v>0</v>
      </c>
      <c r="S524" s="2" t="n">
        <f aca="false">A525-A524</f>
        <v>0.200000000000045</v>
      </c>
      <c r="T524" s="2" t="n">
        <f aca="false">C524+Summary!$C$8*D524</f>
        <v>0.1126325</v>
      </c>
      <c r="U524" s="2" t="n">
        <f aca="false">B524*T524</f>
        <v>1.3287256025</v>
      </c>
      <c r="V524" s="2" t="n">
        <f aca="false">B524*C524</f>
        <v>1.1797</v>
      </c>
      <c r="W524" s="2" t="s">
        <v>76</v>
      </c>
      <c r="X524" s="2" t="s">
        <v>11</v>
      </c>
    </row>
    <row r="525" customFormat="false" ht="15" hidden="false" customHeight="false" outlineLevel="0" collapsed="false">
      <c r="A525" s="2" t="n">
        <v>279.48</v>
      </c>
      <c r="B525" s="2" t="n">
        <v>11.801</v>
      </c>
      <c r="C525" s="2" t="n">
        <v>0.099</v>
      </c>
      <c r="D525" s="2" t="n">
        <v>0.158</v>
      </c>
      <c r="E525" s="2" t="n">
        <v>0.04</v>
      </c>
      <c r="F525" s="2" t="n">
        <v>76</v>
      </c>
      <c r="G525" s="2" t="n">
        <v>400</v>
      </c>
      <c r="H525" s="2" t="n">
        <v>400</v>
      </c>
      <c r="I525" s="2" t="n">
        <v>400</v>
      </c>
      <c r="J525" s="2"/>
      <c r="K525" s="2" t="n">
        <v>1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</v>
      </c>
      <c r="Q525" s="2" t="n">
        <v>1</v>
      </c>
      <c r="R525" s="2" t="n">
        <v>0</v>
      </c>
      <c r="S525" s="2" t="n">
        <f aca="false">A526-A525</f>
        <v>0.199999999999989</v>
      </c>
      <c r="T525" s="2" t="n">
        <f aca="false">C525+Summary!$C$8*D525</f>
        <v>0.111877</v>
      </c>
      <c r="U525" s="2" t="n">
        <f aca="false">B525*T525</f>
        <v>1.320260477</v>
      </c>
      <c r="V525" s="2" t="n">
        <f aca="false">B525*C525</f>
        <v>1.168299</v>
      </c>
      <c r="W525" s="2" t="s">
        <v>76</v>
      </c>
      <c r="X525" s="2" t="s">
        <v>11</v>
      </c>
    </row>
    <row r="526" customFormat="false" ht="15" hidden="false" customHeight="false" outlineLevel="0" collapsed="false">
      <c r="A526" s="2" t="n">
        <v>279.68</v>
      </c>
      <c r="B526" s="2" t="n">
        <v>11.797</v>
      </c>
      <c r="C526" s="2" t="n">
        <v>0.099</v>
      </c>
      <c r="D526" s="2" t="n">
        <v>0.155</v>
      </c>
      <c r="E526" s="2" t="n">
        <v>0</v>
      </c>
      <c r="F526" s="2" t="n">
        <v>76</v>
      </c>
      <c r="G526" s="2" t="n">
        <v>400</v>
      </c>
      <c r="H526" s="2" t="n">
        <v>400</v>
      </c>
      <c r="I526" s="2" t="n">
        <v>400</v>
      </c>
      <c r="J526" s="2"/>
      <c r="K526" s="2" t="n">
        <v>1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</v>
      </c>
      <c r="Q526" s="2" t="n">
        <v>1</v>
      </c>
      <c r="R526" s="2" t="n">
        <v>0</v>
      </c>
      <c r="S526" s="2" t="n">
        <f aca="false">A527-A526</f>
        <v>0.199999999999989</v>
      </c>
      <c r="T526" s="2" t="n">
        <f aca="false">C526+Summary!$C$8*D526</f>
        <v>0.1116325</v>
      </c>
      <c r="U526" s="2" t="n">
        <f aca="false">B526*T526</f>
        <v>1.3169286025</v>
      </c>
      <c r="V526" s="2" t="n">
        <f aca="false">B526*C526</f>
        <v>1.167903</v>
      </c>
      <c r="W526" s="2" t="s">
        <v>76</v>
      </c>
      <c r="X526" s="2" t="s">
        <v>11</v>
      </c>
    </row>
    <row r="527" customFormat="false" ht="15" hidden="false" customHeight="false" outlineLevel="0" collapsed="false">
      <c r="A527" s="2" t="n">
        <v>279.88</v>
      </c>
      <c r="B527" s="2" t="n">
        <v>11.553</v>
      </c>
      <c r="C527" s="2" t="n">
        <v>0.785</v>
      </c>
      <c r="D527" s="2" t="n">
        <v>0.163</v>
      </c>
      <c r="E527" s="2" t="n">
        <v>0.027</v>
      </c>
      <c r="F527" s="2" t="n">
        <v>76</v>
      </c>
      <c r="G527" s="2" t="n">
        <v>400</v>
      </c>
      <c r="H527" s="2" t="n">
        <v>400</v>
      </c>
      <c r="I527" s="2" t="n">
        <v>73</v>
      </c>
      <c r="J527" s="2"/>
      <c r="K527" s="2" t="n">
        <v>1</v>
      </c>
      <c r="L527" s="2" t="n">
        <v>1</v>
      </c>
      <c r="M527" s="2" t="n">
        <v>0</v>
      </c>
      <c r="N527" s="2" t="n">
        <v>0</v>
      </c>
      <c r="O527" s="2" t="n">
        <v>0</v>
      </c>
      <c r="P527" s="2" t="n">
        <v>1</v>
      </c>
      <c r="Q527" s="2" t="n">
        <v>1</v>
      </c>
      <c r="R527" s="2" t="n">
        <v>0</v>
      </c>
      <c r="S527" s="2" t="n">
        <f aca="false">A528-A527</f>
        <v>0.199999999999989</v>
      </c>
      <c r="T527" s="2" t="n">
        <f aca="false">C527+Summary!$C$8*D527</f>
        <v>0.7982845</v>
      </c>
      <c r="U527" s="2" t="n">
        <f aca="false">B527*T527</f>
        <v>9.2225808285</v>
      </c>
      <c r="V527" s="2" t="n">
        <f aca="false">B527*C527</f>
        <v>9.069105</v>
      </c>
      <c r="W527" s="2" t="s">
        <v>77</v>
      </c>
      <c r="X527" s="2" t="s">
        <v>11</v>
      </c>
    </row>
    <row r="528" customFormat="false" ht="15" hidden="false" customHeight="false" outlineLevel="0" collapsed="false">
      <c r="A528" s="2" t="n">
        <v>280.08</v>
      </c>
      <c r="B528" s="2" t="n">
        <v>11.489</v>
      </c>
      <c r="C528" s="2" t="n">
        <v>0.941</v>
      </c>
      <c r="D528" s="2" t="n">
        <v>0.224</v>
      </c>
      <c r="E528" s="2" t="n">
        <v>0.027</v>
      </c>
      <c r="F528" s="2" t="n">
        <v>76</v>
      </c>
      <c r="G528" s="2" t="n">
        <v>400</v>
      </c>
      <c r="H528" s="2" t="n">
        <v>400</v>
      </c>
      <c r="I528" s="2" t="n">
        <v>400</v>
      </c>
      <c r="J528" s="2"/>
      <c r="K528" s="2" t="n">
        <v>1</v>
      </c>
      <c r="L528" s="2" t="n">
        <v>1</v>
      </c>
      <c r="M528" s="2" t="n">
        <v>0</v>
      </c>
      <c r="N528" s="2" t="n">
        <v>0</v>
      </c>
      <c r="O528" s="2" t="n">
        <v>0</v>
      </c>
      <c r="P528" s="2" t="n">
        <v>1</v>
      </c>
      <c r="Q528" s="2" t="n">
        <v>1</v>
      </c>
      <c r="R528" s="2" t="n">
        <v>0</v>
      </c>
      <c r="S528" s="2" t="n">
        <f aca="false">A529-A528</f>
        <v>0.199999999999989</v>
      </c>
      <c r="T528" s="2" t="n">
        <f aca="false">C528+Summary!$C$8*D528</f>
        <v>0.959256</v>
      </c>
      <c r="U528" s="2" t="n">
        <f aca="false">B528*T528</f>
        <v>11.020892184</v>
      </c>
      <c r="V528" s="2" t="n">
        <f aca="false">B528*C528</f>
        <v>10.811149</v>
      </c>
      <c r="W528" s="2" t="s">
        <v>77</v>
      </c>
      <c r="X528" s="2" t="s">
        <v>11</v>
      </c>
    </row>
    <row r="529" customFormat="false" ht="15" hidden="false" customHeight="false" outlineLevel="0" collapsed="false">
      <c r="A529" s="2" t="n">
        <v>280.28</v>
      </c>
      <c r="B529" s="2" t="n">
        <v>11.626</v>
      </c>
      <c r="C529" s="2" t="n">
        <v>0.541</v>
      </c>
      <c r="D529" s="2" t="n">
        <v>0.282</v>
      </c>
      <c r="E529" s="2" t="n">
        <v>0.231</v>
      </c>
      <c r="F529" s="2" t="n">
        <v>76</v>
      </c>
      <c r="G529" s="2" t="n">
        <v>400</v>
      </c>
      <c r="H529" s="2" t="n">
        <v>400</v>
      </c>
      <c r="I529" s="2" t="n">
        <v>400</v>
      </c>
      <c r="J529" s="2"/>
      <c r="K529" s="2" t="n">
        <v>1</v>
      </c>
      <c r="L529" s="2" t="n">
        <v>1</v>
      </c>
      <c r="M529" s="2" t="n">
        <v>0</v>
      </c>
      <c r="N529" s="2" t="n">
        <v>0</v>
      </c>
      <c r="O529" s="2" t="n">
        <v>0</v>
      </c>
      <c r="P529" s="2" t="n">
        <v>1</v>
      </c>
      <c r="Q529" s="2" t="n">
        <v>1</v>
      </c>
      <c r="R529" s="2" t="n">
        <v>0</v>
      </c>
      <c r="S529" s="2" t="n">
        <f aca="false">A530-A529</f>
        <v>0.200000000000045</v>
      </c>
      <c r="T529" s="2" t="n">
        <f aca="false">C529+Summary!$C$8*D529</f>
        <v>0.563983</v>
      </c>
      <c r="U529" s="2" t="n">
        <f aca="false">B529*T529</f>
        <v>6.556866358</v>
      </c>
      <c r="V529" s="2" t="n">
        <f aca="false">B529*C529</f>
        <v>6.289666</v>
      </c>
      <c r="W529" s="2" t="s">
        <v>77</v>
      </c>
      <c r="X529" s="2" t="s">
        <v>11</v>
      </c>
    </row>
    <row r="530" customFormat="false" ht="15" hidden="false" customHeight="false" outlineLevel="0" collapsed="false">
      <c r="A530" s="2" t="n">
        <v>280.48</v>
      </c>
      <c r="B530" s="2" t="n">
        <v>11.644</v>
      </c>
      <c r="C530" s="2" t="n">
        <v>0.516</v>
      </c>
      <c r="D530" s="2" t="n">
        <v>0.154</v>
      </c>
      <c r="E530" s="2" t="n">
        <v>0.503</v>
      </c>
      <c r="F530" s="2" t="n">
        <v>76</v>
      </c>
      <c r="G530" s="2" t="n">
        <v>400</v>
      </c>
      <c r="H530" s="2" t="n">
        <v>400</v>
      </c>
      <c r="I530" s="2" t="n">
        <v>400</v>
      </c>
      <c r="J530" s="2"/>
      <c r="K530" s="2" t="n">
        <v>1</v>
      </c>
      <c r="L530" s="2" t="n">
        <v>1</v>
      </c>
      <c r="M530" s="2" t="n">
        <v>0</v>
      </c>
      <c r="N530" s="2" t="n">
        <v>0</v>
      </c>
      <c r="O530" s="2" t="n">
        <v>0</v>
      </c>
      <c r="P530" s="2" t="n">
        <v>1</v>
      </c>
      <c r="Q530" s="2" t="n">
        <v>1</v>
      </c>
      <c r="R530" s="2" t="n">
        <v>0</v>
      </c>
      <c r="S530" s="2" t="n">
        <f aca="false">A531-A530</f>
        <v>0.199999999999989</v>
      </c>
      <c r="T530" s="2" t="n">
        <f aca="false">C530+Summary!$C$8*D530</f>
        <v>0.528551</v>
      </c>
      <c r="U530" s="2" t="n">
        <f aca="false">B530*T530</f>
        <v>6.154447844</v>
      </c>
      <c r="V530" s="2" t="n">
        <f aca="false">B530*C530</f>
        <v>6.008304</v>
      </c>
      <c r="W530" s="2" t="s">
        <v>77</v>
      </c>
      <c r="X530" s="2" t="s">
        <v>11</v>
      </c>
    </row>
    <row r="531" customFormat="false" ht="15" hidden="false" customHeight="false" outlineLevel="0" collapsed="false">
      <c r="A531" s="2" t="n">
        <v>280.68</v>
      </c>
      <c r="B531" s="2" t="n">
        <v>11.658</v>
      </c>
      <c r="C531" s="2" t="n">
        <v>0.526</v>
      </c>
      <c r="D531" s="2" t="n">
        <v>0.127</v>
      </c>
      <c r="E531" s="2" t="n">
        <v>0.694</v>
      </c>
      <c r="F531" s="2" t="n">
        <v>76</v>
      </c>
      <c r="G531" s="2" t="n">
        <v>400</v>
      </c>
      <c r="H531" s="2" t="n">
        <v>400</v>
      </c>
      <c r="I531" s="2" t="n">
        <v>400</v>
      </c>
      <c r="J531" s="2"/>
      <c r="K531" s="2" t="n">
        <v>1</v>
      </c>
      <c r="L531" s="2" t="n">
        <v>1</v>
      </c>
      <c r="M531" s="2" t="n">
        <v>0</v>
      </c>
      <c r="N531" s="2" t="n">
        <v>0</v>
      </c>
      <c r="O531" s="2" t="n">
        <v>0</v>
      </c>
      <c r="P531" s="2" t="n">
        <v>1</v>
      </c>
      <c r="Q531" s="2" t="n">
        <v>1</v>
      </c>
      <c r="R531" s="2" t="n">
        <v>0</v>
      </c>
      <c r="S531" s="2" t="n">
        <f aca="false">A532-A531</f>
        <v>0.199999999999989</v>
      </c>
      <c r="T531" s="2" t="n">
        <f aca="false">C531+Summary!$C$8*D531</f>
        <v>0.5363505</v>
      </c>
      <c r="U531" s="2" t="n">
        <f aca="false">B531*T531</f>
        <v>6.252774129</v>
      </c>
      <c r="V531" s="2" t="n">
        <f aca="false">B531*C531</f>
        <v>6.132108</v>
      </c>
      <c r="W531" s="2" t="s">
        <v>77</v>
      </c>
      <c r="X531" s="2" t="s">
        <v>11</v>
      </c>
    </row>
    <row r="532" customFormat="false" ht="15" hidden="false" customHeight="false" outlineLevel="0" collapsed="false">
      <c r="A532" s="2" t="n">
        <v>280.88</v>
      </c>
      <c r="B532" s="2" t="n">
        <v>11.632</v>
      </c>
      <c r="C532" s="2" t="n">
        <v>0.634</v>
      </c>
      <c r="D532" s="2" t="n">
        <v>0.133</v>
      </c>
      <c r="E532" s="2" t="n">
        <v>0.68</v>
      </c>
      <c r="F532" s="2" t="n">
        <v>76</v>
      </c>
      <c r="G532" s="2" t="n">
        <v>400</v>
      </c>
      <c r="H532" s="2" t="n">
        <v>65</v>
      </c>
      <c r="I532" s="2" t="n">
        <v>400</v>
      </c>
      <c r="J532" s="2"/>
      <c r="K532" s="2" t="n">
        <v>1</v>
      </c>
      <c r="L532" s="2" t="n">
        <v>1</v>
      </c>
      <c r="M532" s="2" t="n">
        <v>0</v>
      </c>
      <c r="N532" s="2" t="n">
        <v>0</v>
      </c>
      <c r="O532" s="2" t="n">
        <v>0</v>
      </c>
      <c r="P532" s="2" t="n">
        <v>1</v>
      </c>
      <c r="Q532" s="2" t="n">
        <v>1</v>
      </c>
      <c r="R532" s="2" t="n">
        <v>0</v>
      </c>
      <c r="S532" s="2" t="n">
        <f aca="false">A533-A532</f>
        <v>0.199999999999989</v>
      </c>
      <c r="T532" s="2" t="n">
        <f aca="false">C532+Summary!$C$8*D532</f>
        <v>0.6448395</v>
      </c>
      <c r="U532" s="2" t="n">
        <f aca="false">B532*T532</f>
        <v>7.500773064</v>
      </c>
      <c r="V532" s="2" t="n">
        <f aca="false">B532*C532</f>
        <v>7.374688</v>
      </c>
      <c r="W532" s="2" t="s">
        <v>77</v>
      </c>
      <c r="X532" s="2" t="s">
        <v>11</v>
      </c>
    </row>
    <row r="533" customFormat="false" ht="15" hidden="false" customHeight="false" outlineLevel="0" collapsed="false">
      <c r="A533" s="2" t="n">
        <v>281.08</v>
      </c>
      <c r="B533" s="2" t="n">
        <v>11.637</v>
      </c>
      <c r="C533" s="2" t="n">
        <v>0.602</v>
      </c>
      <c r="D533" s="2" t="n">
        <v>0.149</v>
      </c>
      <c r="E533" s="2" t="n">
        <v>0.68</v>
      </c>
      <c r="F533" s="2" t="n">
        <v>76</v>
      </c>
      <c r="G533" s="2" t="n">
        <v>400</v>
      </c>
      <c r="H533" s="2" t="n">
        <v>24</v>
      </c>
      <c r="I533" s="2" t="n">
        <v>400</v>
      </c>
      <c r="J533" s="2"/>
      <c r="K533" s="2" t="n">
        <v>1</v>
      </c>
      <c r="L533" s="2" t="n">
        <v>1</v>
      </c>
      <c r="M533" s="2" t="n">
        <v>0</v>
      </c>
      <c r="N533" s="2" t="n">
        <v>0</v>
      </c>
      <c r="O533" s="2" t="n">
        <v>0</v>
      </c>
      <c r="P533" s="2" t="n">
        <v>1</v>
      </c>
      <c r="Q533" s="2" t="n">
        <v>1</v>
      </c>
      <c r="R533" s="2" t="n">
        <v>0</v>
      </c>
      <c r="S533" s="2" t="n">
        <f aca="false">A534-A533</f>
        <v>0.199999999999989</v>
      </c>
      <c r="T533" s="2" t="n">
        <f aca="false">C533+Summary!$C$8*D533</f>
        <v>0.6141435</v>
      </c>
      <c r="U533" s="2" t="n">
        <f aca="false">B533*T533</f>
        <v>7.1467879095</v>
      </c>
      <c r="V533" s="2" t="n">
        <f aca="false">B533*C533</f>
        <v>7.005474</v>
      </c>
      <c r="W533" s="2" t="s">
        <v>77</v>
      </c>
      <c r="X533" s="2" t="s">
        <v>11</v>
      </c>
    </row>
    <row r="534" customFormat="false" ht="15" hidden="false" customHeight="false" outlineLevel="0" collapsed="false">
      <c r="A534" s="2" t="n">
        <v>281.28</v>
      </c>
      <c r="B534" s="2" t="n">
        <v>11.623</v>
      </c>
      <c r="C534" s="2" t="n">
        <v>0.542</v>
      </c>
      <c r="D534" s="2" t="n">
        <v>0.117</v>
      </c>
      <c r="E534" s="2" t="n">
        <v>0.544</v>
      </c>
      <c r="F534" s="2" t="n">
        <v>76</v>
      </c>
      <c r="G534" s="2" t="n">
        <v>26</v>
      </c>
      <c r="H534" s="2" t="n">
        <v>400</v>
      </c>
      <c r="I534" s="2" t="n">
        <v>400</v>
      </c>
      <c r="J534" s="2"/>
      <c r="K534" s="2" t="n">
        <v>1</v>
      </c>
      <c r="L534" s="2" t="n">
        <v>1</v>
      </c>
      <c r="M534" s="2" t="n">
        <v>0</v>
      </c>
      <c r="N534" s="2" t="n">
        <v>0</v>
      </c>
      <c r="O534" s="2" t="n">
        <v>0</v>
      </c>
      <c r="P534" s="2" t="n">
        <v>1</v>
      </c>
      <c r="Q534" s="2" t="n">
        <v>1</v>
      </c>
      <c r="R534" s="2" t="n">
        <v>0</v>
      </c>
      <c r="S534" s="2" t="n">
        <f aca="false">A535-A534</f>
        <v>0.200000000000045</v>
      </c>
      <c r="T534" s="2" t="n">
        <f aca="false">C534+Summary!$C$8*D534</f>
        <v>0.5515355</v>
      </c>
      <c r="U534" s="2" t="n">
        <f aca="false">B534*T534</f>
        <v>6.4104971165</v>
      </c>
      <c r="V534" s="2" t="n">
        <f aca="false">B534*C534</f>
        <v>6.299666</v>
      </c>
      <c r="W534" s="2" t="s">
        <v>77</v>
      </c>
      <c r="X534" s="2" t="s">
        <v>11</v>
      </c>
    </row>
    <row r="535" customFormat="false" ht="15" hidden="false" customHeight="false" outlineLevel="0" collapsed="false">
      <c r="A535" s="2" t="n">
        <v>281.48</v>
      </c>
      <c r="B535" s="2" t="n">
        <v>11.643</v>
      </c>
      <c r="C535" s="2" t="n">
        <v>0.583</v>
      </c>
      <c r="D535" s="2" t="n">
        <v>0.073</v>
      </c>
      <c r="E535" s="2" t="n">
        <v>0.68</v>
      </c>
      <c r="F535" s="2" t="n">
        <v>76</v>
      </c>
      <c r="G535" s="2" t="n">
        <v>400</v>
      </c>
      <c r="H535" s="2" t="n">
        <v>400</v>
      </c>
      <c r="I535" s="2" t="n">
        <v>400</v>
      </c>
      <c r="J535" s="2"/>
      <c r="K535" s="2" t="n">
        <v>1</v>
      </c>
      <c r="L535" s="2" t="n">
        <v>1</v>
      </c>
      <c r="M535" s="2" t="n">
        <v>0</v>
      </c>
      <c r="N535" s="2" t="n">
        <v>0</v>
      </c>
      <c r="O535" s="2" t="n">
        <v>0</v>
      </c>
      <c r="P535" s="2" t="n">
        <v>1</v>
      </c>
      <c r="Q535" s="2" t="n">
        <v>1</v>
      </c>
      <c r="R535" s="2" t="n">
        <v>0</v>
      </c>
      <c r="S535" s="2" t="n">
        <f aca="false">A536-A535</f>
        <v>0.199999999999989</v>
      </c>
      <c r="T535" s="2" t="n">
        <f aca="false">C535+Summary!$C$8*D535</f>
        <v>0.5889495</v>
      </c>
      <c r="U535" s="2" t="n">
        <f aca="false">B535*T535</f>
        <v>6.8571390285</v>
      </c>
      <c r="V535" s="2" t="n">
        <f aca="false">B535*C535</f>
        <v>6.787869</v>
      </c>
      <c r="W535" s="2" t="s">
        <v>77</v>
      </c>
      <c r="X535" s="2" t="s">
        <v>11</v>
      </c>
    </row>
    <row r="536" customFormat="false" ht="15" hidden="false" customHeight="false" outlineLevel="0" collapsed="false">
      <c r="A536" s="2" t="n">
        <v>281.68</v>
      </c>
      <c r="B536" s="2" t="n">
        <v>11.638</v>
      </c>
      <c r="C536" s="2" t="n">
        <v>0.594</v>
      </c>
      <c r="D536" s="2" t="n">
        <v>0.142</v>
      </c>
      <c r="E536" s="2" t="n">
        <v>0.694</v>
      </c>
      <c r="F536" s="2" t="n">
        <v>76</v>
      </c>
      <c r="G536" s="2" t="n">
        <v>400</v>
      </c>
      <c r="H536" s="2" t="n">
        <v>400</v>
      </c>
      <c r="I536" s="2" t="n">
        <v>400</v>
      </c>
      <c r="J536" s="2"/>
      <c r="K536" s="2" t="n">
        <v>1</v>
      </c>
      <c r="L536" s="2" t="n">
        <v>1</v>
      </c>
      <c r="M536" s="2" t="n">
        <v>0</v>
      </c>
      <c r="N536" s="2" t="n">
        <v>0</v>
      </c>
      <c r="O536" s="2" t="n">
        <v>0</v>
      </c>
      <c r="P536" s="2" t="n">
        <v>1</v>
      </c>
      <c r="Q536" s="2" t="n">
        <v>1</v>
      </c>
      <c r="R536" s="2" t="n">
        <v>0</v>
      </c>
      <c r="S536" s="2" t="n">
        <f aca="false">A537-A536</f>
        <v>0.199999999999989</v>
      </c>
      <c r="T536" s="2" t="n">
        <f aca="false">C536+Summary!$C$8*D536</f>
        <v>0.605573</v>
      </c>
      <c r="U536" s="2" t="n">
        <f aca="false">B536*T536</f>
        <v>7.047658574</v>
      </c>
      <c r="V536" s="2" t="n">
        <f aca="false">B536*C536</f>
        <v>6.912972</v>
      </c>
      <c r="W536" s="2" t="s">
        <v>77</v>
      </c>
      <c r="X536" s="2" t="s">
        <v>11</v>
      </c>
    </row>
    <row r="537" customFormat="false" ht="15" hidden="false" customHeight="false" outlineLevel="0" collapsed="false">
      <c r="A537" s="2" t="n">
        <v>281.88</v>
      </c>
      <c r="B537" s="2" t="n">
        <v>11.645</v>
      </c>
      <c r="C537" s="2" t="n">
        <v>0.526</v>
      </c>
      <c r="D537" s="2" t="n">
        <v>0.127</v>
      </c>
      <c r="E537" s="2" t="n">
        <v>0.694</v>
      </c>
      <c r="F537" s="2" t="n">
        <v>76</v>
      </c>
      <c r="G537" s="2" t="n">
        <v>400</v>
      </c>
      <c r="H537" s="2" t="n">
        <v>400</v>
      </c>
      <c r="I537" s="2" t="n">
        <v>400</v>
      </c>
      <c r="J537" s="2"/>
      <c r="K537" s="2" t="n">
        <v>1</v>
      </c>
      <c r="L537" s="2" t="n">
        <v>1</v>
      </c>
      <c r="M537" s="2" t="n">
        <v>0</v>
      </c>
      <c r="N537" s="2" t="n">
        <v>0</v>
      </c>
      <c r="O537" s="2" t="n">
        <v>0</v>
      </c>
      <c r="P537" s="2" t="n">
        <v>1</v>
      </c>
      <c r="Q537" s="2" t="n">
        <v>1</v>
      </c>
      <c r="R537" s="2" t="n">
        <v>0</v>
      </c>
      <c r="S537" s="2" t="n">
        <f aca="false">A538-A537</f>
        <v>0.199999999999989</v>
      </c>
      <c r="T537" s="2" t="n">
        <f aca="false">C537+Summary!$C$8*D537</f>
        <v>0.5363505</v>
      </c>
      <c r="U537" s="2" t="n">
        <f aca="false">B537*T537</f>
        <v>6.2458015725</v>
      </c>
      <c r="V537" s="2" t="n">
        <f aca="false">B537*C537</f>
        <v>6.12527</v>
      </c>
      <c r="W537" s="2" t="s">
        <v>77</v>
      </c>
      <c r="X537" s="2" t="s">
        <v>11</v>
      </c>
    </row>
    <row r="538" customFormat="false" ht="15" hidden="false" customHeight="false" outlineLevel="0" collapsed="false">
      <c r="A538" s="2" t="n">
        <v>282.08</v>
      </c>
      <c r="B538" s="2" t="n">
        <v>11.648</v>
      </c>
      <c r="C538" s="2" t="n">
        <v>0.521</v>
      </c>
      <c r="D538" s="2" t="n">
        <v>0.115</v>
      </c>
      <c r="E538" s="2" t="n">
        <v>0.694</v>
      </c>
      <c r="F538" s="2" t="n">
        <v>76</v>
      </c>
      <c r="G538" s="2" t="n">
        <v>400</v>
      </c>
      <c r="H538" s="2" t="n">
        <v>400</v>
      </c>
      <c r="I538" s="2" t="n">
        <v>306</v>
      </c>
      <c r="J538" s="2"/>
      <c r="K538" s="2" t="n">
        <v>1</v>
      </c>
      <c r="L538" s="2" t="n">
        <v>1</v>
      </c>
      <c r="M538" s="2" t="n">
        <v>0</v>
      </c>
      <c r="N538" s="2" t="n">
        <v>0</v>
      </c>
      <c r="O538" s="2" t="n">
        <v>0</v>
      </c>
      <c r="P538" s="2" t="n">
        <v>1</v>
      </c>
      <c r="Q538" s="2" t="n">
        <v>1</v>
      </c>
      <c r="R538" s="2" t="n">
        <v>0</v>
      </c>
      <c r="S538" s="2" t="n">
        <f aca="false">A539-A538</f>
        <v>0.199999999999989</v>
      </c>
      <c r="T538" s="2" t="n">
        <f aca="false">C538+Summary!$C$8*D538</f>
        <v>0.5303725</v>
      </c>
      <c r="U538" s="2" t="n">
        <f aca="false">B538*T538</f>
        <v>6.17777888</v>
      </c>
      <c r="V538" s="2" t="n">
        <f aca="false">B538*C538</f>
        <v>6.068608</v>
      </c>
      <c r="W538" s="2" t="s">
        <v>77</v>
      </c>
      <c r="X538" s="2" t="s">
        <v>11</v>
      </c>
    </row>
    <row r="539" customFormat="false" ht="15" hidden="false" customHeight="false" outlineLevel="0" collapsed="false">
      <c r="A539" s="2" t="n">
        <v>282.28</v>
      </c>
      <c r="B539" s="2" t="n">
        <v>11.628</v>
      </c>
      <c r="C539" s="2" t="n">
        <v>0.551</v>
      </c>
      <c r="D539" s="2" t="n">
        <v>0.169</v>
      </c>
      <c r="E539" s="2" t="n">
        <v>0.68</v>
      </c>
      <c r="F539" s="2" t="n">
        <v>76</v>
      </c>
      <c r="G539" s="2" t="n">
        <v>400</v>
      </c>
      <c r="H539" s="2" t="n">
        <v>400</v>
      </c>
      <c r="I539" s="2" t="n">
        <v>291</v>
      </c>
      <c r="J539" s="2"/>
      <c r="K539" s="2" t="n">
        <v>1</v>
      </c>
      <c r="L539" s="2" t="n">
        <v>1</v>
      </c>
      <c r="M539" s="2" t="n">
        <v>0</v>
      </c>
      <c r="N539" s="2" t="n">
        <v>0</v>
      </c>
      <c r="O539" s="2" t="n">
        <v>0</v>
      </c>
      <c r="P539" s="2" t="n">
        <v>1</v>
      </c>
      <c r="Q539" s="2" t="n">
        <v>1</v>
      </c>
      <c r="R539" s="2" t="n">
        <v>0</v>
      </c>
      <c r="S539" s="2" t="n">
        <f aca="false">A540-A539</f>
        <v>0.230000000000018</v>
      </c>
      <c r="T539" s="2" t="n">
        <f aca="false">C539+Summary!$C$8*D539</f>
        <v>0.5647735</v>
      </c>
      <c r="U539" s="2" t="n">
        <f aca="false">B539*T539</f>
        <v>6.567186258</v>
      </c>
      <c r="V539" s="2" t="n">
        <f aca="false">B539*C539</f>
        <v>6.407028</v>
      </c>
      <c r="W539" s="2" t="s">
        <v>77</v>
      </c>
      <c r="X539" s="2" t="s">
        <v>11</v>
      </c>
    </row>
    <row r="540" customFormat="false" ht="15" hidden="false" customHeight="false" outlineLevel="0" collapsed="false">
      <c r="A540" s="2" t="n">
        <v>282.51</v>
      </c>
      <c r="B540" s="2" t="n">
        <v>11.758</v>
      </c>
      <c r="C540" s="2" t="n">
        <v>0.184</v>
      </c>
      <c r="D540" s="2" t="n">
        <v>0.143</v>
      </c>
      <c r="E540" s="2" t="n">
        <v>0.585</v>
      </c>
      <c r="F540" s="2" t="n">
        <v>76</v>
      </c>
      <c r="G540" s="2" t="n">
        <v>400</v>
      </c>
      <c r="H540" s="2" t="n">
        <v>36</v>
      </c>
      <c r="I540" s="2" t="n">
        <v>281</v>
      </c>
      <c r="J540" s="2"/>
      <c r="K540" s="2" t="n">
        <v>1</v>
      </c>
      <c r="L540" s="2" t="n">
        <v>1</v>
      </c>
      <c r="M540" s="2" t="n">
        <v>0</v>
      </c>
      <c r="N540" s="2" t="n">
        <v>0</v>
      </c>
      <c r="O540" s="2" t="n">
        <v>0</v>
      </c>
      <c r="P540" s="2" t="n">
        <v>1</v>
      </c>
      <c r="Q540" s="2" t="n">
        <v>1</v>
      </c>
      <c r="R540" s="2" t="n">
        <v>0</v>
      </c>
      <c r="S540" s="2" t="n">
        <f aca="false">A541-A540</f>
        <v>0.180000000000007</v>
      </c>
      <c r="T540" s="2" t="n">
        <f aca="false">C540+Summary!$C$8*D540</f>
        <v>0.1956545</v>
      </c>
      <c r="U540" s="2" t="n">
        <f aca="false">B540*T540</f>
        <v>2.300505611</v>
      </c>
      <c r="V540" s="2" t="n">
        <f aca="false">B540*C540</f>
        <v>2.163472</v>
      </c>
      <c r="W540" s="2" t="s">
        <v>77</v>
      </c>
      <c r="X540" s="2" t="s">
        <v>11</v>
      </c>
    </row>
    <row r="541" customFormat="false" ht="15" hidden="false" customHeight="false" outlineLevel="0" collapsed="false">
      <c r="A541" s="2" t="n">
        <v>282.69</v>
      </c>
      <c r="B541" s="2" t="n">
        <v>11.786</v>
      </c>
      <c r="C541" s="2" t="n">
        <v>0.106</v>
      </c>
      <c r="D541" s="2" t="n">
        <v>0.069</v>
      </c>
      <c r="E541" s="2" t="n">
        <v>0.653</v>
      </c>
      <c r="F541" s="2" t="n">
        <v>76</v>
      </c>
      <c r="G541" s="2" t="n">
        <v>21</v>
      </c>
      <c r="H541" s="2" t="n">
        <v>394</v>
      </c>
      <c r="I541" s="2" t="n">
        <v>278</v>
      </c>
      <c r="J541" s="2"/>
      <c r="K541" s="2" t="n">
        <v>1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1</v>
      </c>
      <c r="Q541" s="2" t="n">
        <v>1</v>
      </c>
      <c r="R541" s="2" t="n">
        <v>0</v>
      </c>
      <c r="S541" s="2" t="n">
        <f aca="false">A542-A541</f>
        <v>0.199999999999989</v>
      </c>
      <c r="T541" s="2" t="n">
        <f aca="false">C541+Summary!$C$8*D541</f>
        <v>0.1116235</v>
      </c>
      <c r="U541" s="2" t="n">
        <f aca="false">B541*T541</f>
        <v>1.315594571</v>
      </c>
      <c r="V541" s="2" t="n">
        <f aca="false">B541*C541</f>
        <v>1.249316</v>
      </c>
      <c r="W541" s="2" t="s">
        <v>77</v>
      </c>
      <c r="X541" s="2" t="s">
        <v>11</v>
      </c>
    </row>
    <row r="542" customFormat="false" ht="15" hidden="false" customHeight="false" outlineLevel="0" collapsed="false">
      <c r="A542" s="2" t="n">
        <v>282.89</v>
      </c>
      <c r="B542" s="2" t="n">
        <v>11.79</v>
      </c>
      <c r="C542" s="2" t="n">
        <v>0.113</v>
      </c>
      <c r="D542" s="2" t="n">
        <v>0.047</v>
      </c>
      <c r="E542" s="2" t="n">
        <v>0.367</v>
      </c>
      <c r="F542" s="2" t="n">
        <v>76</v>
      </c>
      <c r="G542" s="2" t="n">
        <v>400</v>
      </c>
      <c r="H542" s="2" t="n">
        <v>20</v>
      </c>
      <c r="I542" s="2" t="n">
        <v>66</v>
      </c>
      <c r="J542" s="2"/>
      <c r="K542" s="2" t="n">
        <v>1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1</v>
      </c>
      <c r="Q542" s="2" t="n">
        <v>1</v>
      </c>
      <c r="R542" s="2" t="n">
        <v>0</v>
      </c>
      <c r="S542" s="2" t="n">
        <f aca="false">A543-A542</f>
        <v>0.210000000000036</v>
      </c>
      <c r="T542" s="2" t="n">
        <f aca="false">C542+Summary!$C$8*D542</f>
        <v>0.1168305</v>
      </c>
      <c r="U542" s="2" t="n">
        <f aca="false">B542*T542</f>
        <v>1.377431595</v>
      </c>
      <c r="V542" s="2" t="n">
        <f aca="false">B542*C542</f>
        <v>1.33227</v>
      </c>
      <c r="W542" s="2" t="s">
        <v>77</v>
      </c>
      <c r="X542" s="2" t="s">
        <v>11</v>
      </c>
    </row>
    <row r="543" customFormat="false" ht="15" hidden="false" customHeight="false" outlineLevel="0" collapsed="false">
      <c r="A543" s="2" t="n">
        <v>283.1</v>
      </c>
      <c r="B543" s="2" t="n">
        <v>11.794</v>
      </c>
      <c r="C543" s="2" t="n">
        <v>0.107</v>
      </c>
      <c r="D543" s="2" t="n">
        <v>0.042</v>
      </c>
      <c r="E543" s="2" t="n">
        <v>0.367</v>
      </c>
      <c r="F543" s="2" t="n">
        <v>76</v>
      </c>
      <c r="G543" s="2" t="n">
        <v>400</v>
      </c>
      <c r="H543" s="2" t="n">
        <v>24</v>
      </c>
      <c r="I543" s="2" t="n">
        <v>262</v>
      </c>
      <c r="J543" s="2"/>
      <c r="K543" s="2" t="n">
        <v>1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1</v>
      </c>
      <c r="Q543" s="2" t="n">
        <v>1</v>
      </c>
      <c r="R543" s="2" t="n">
        <v>0</v>
      </c>
      <c r="S543" s="2" t="n">
        <f aca="false">A544-A543</f>
        <v>0.199999999999989</v>
      </c>
      <c r="T543" s="2" t="n">
        <f aca="false">C543+Summary!$C$8*D543</f>
        <v>0.110423</v>
      </c>
      <c r="U543" s="2" t="n">
        <f aca="false">B543*T543</f>
        <v>1.302328862</v>
      </c>
      <c r="V543" s="2" t="n">
        <f aca="false">B543*C543</f>
        <v>1.261958</v>
      </c>
      <c r="W543" s="2" t="s">
        <v>77</v>
      </c>
      <c r="X543" s="2" t="s">
        <v>11</v>
      </c>
    </row>
    <row r="544" customFormat="false" ht="15" hidden="false" customHeight="false" outlineLevel="0" collapsed="false">
      <c r="A544" s="2" t="n">
        <v>283.3</v>
      </c>
      <c r="B544" s="2" t="n">
        <v>11.79</v>
      </c>
      <c r="C544" s="2" t="n">
        <v>0.107</v>
      </c>
      <c r="D544" s="2" t="n">
        <v>0.05</v>
      </c>
      <c r="E544" s="2" t="n">
        <v>0.136</v>
      </c>
      <c r="F544" s="2" t="n">
        <v>76</v>
      </c>
      <c r="G544" s="2" t="n">
        <v>400</v>
      </c>
      <c r="H544" s="2" t="n">
        <v>23</v>
      </c>
      <c r="I544" s="2" t="n">
        <v>262</v>
      </c>
      <c r="J544" s="2"/>
      <c r="K544" s="2" t="n">
        <v>1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1</v>
      </c>
      <c r="Q544" s="2" t="n">
        <v>1</v>
      </c>
      <c r="R544" s="2" t="n">
        <v>0</v>
      </c>
      <c r="S544" s="2" t="n">
        <f aca="false">A545-A544</f>
        <v>0.21999999999997</v>
      </c>
      <c r="T544" s="2" t="n">
        <f aca="false">C544+Summary!$C$8*D544</f>
        <v>0.111075</v>
      </c>
      <c r="U544" s="2" t="n">
        <f aca="false">B544*T544</f>
        <v>1.30957425</v>
      </c>
      <c r="V544" s="2" t="n">
        <f aca="false">B544*C544</f>
        <v>1.26153</v>
      </c>
      <c r="W544" s="2" t="s">
        <v>77</v>
      </c>
      <c r="X544" s="2" t="s">
        <v>11</v>
      </c>
    </row>
    <row r="545" customFormat="false" ht="15" hidden="false" customHeight="false" outlineLevel="0" collapsed="false">
      <c r="A545" s="2" t="n">
        <v>283.52</v>
      </c>
      <c r="B545" s="2" t="n">
        <v>11.728</v>
      </c>
      <c r="C545" s="2" t="n">
        <v>0.286</v>
      </c>
      <c r="D545" s="2" t="n">
        <v>0.045</v>
      </c>
      <c r="E545" s="2" t="n">
        <v>0</v>
      </c>
      <c r="F545" s="2" t="n">
        <v>76</v>
      </c>
      <c r="G545" s="2" t="n">
        <v>400</v>
      </c>
      <c r="H545" s="2" t="n">
        <v>23</v>
      </c>
      <c r="I545" s="2" t="n">
        <v>262</v>
      </c>
      <c r="J545" s="2"/>
      <c r="K545" s="2" t="n">
        <v>1</v>
      </c>
      <c r="L545" s="2" t="n">
        <v>1</v>
      </c>
      <c r="M545" s="2" t="n">
        <v>0</v>
      </c>
      <c r="N545" s="2" t="n">
        <v>0</v>
      </c>
      <c r="O545" s="2" t="n">
        <v>0</v>
      </c>
      <c r="P545" s="2" t="n">
        <v>1</v>
      </c>
      <c r="Q545" s="2" t="n">
        <v>1</v>
      </c>
      <c r="R545" s="2" t="n">
        <v>0</v>
      </c>
      <c r="S545" s="2" t="n">
        <f aca="false">A546-A545</f>
        <v>0.180000000000007</v>
      </c>
      <c r="T545" s="2" t="n">
        <f aca="false">C545+Summary!$C$8*D545</f>
        <v>0.2896675</v>
      </c>
      <c r="U545" s="2" t="n">
        <f aca="false">B545*T545</f>
        <v>3.39722044</v>
      </c>
      <c r="V545" s="2" t="n">
        <f aca="false">B545*C545</f>
        <v>3.354208</v>
      </c>
      <c r="W545" s="2" t="s">
        <v>78</v>
      </c>
      <c r="X545" s="2" t="s">
        <v>11</v>
      </c>
    </row>
    <row r="546" customFormat="false" ht="15" hidden="false" customHeight="false" outlineLevel="0" collapsed="false">
      <c r="A546" s="2" t="n">
        <v>283.7</v>
      </c>
      <c r="B546" s="2" t="n">
        <v>11.449</v>
      </c>
      <c r="C546" s="2" t="n">
        <v>1.112</v>
      </c>
      <c r="D546" s="2" t="n">
        <v>0.051</v>
      </c>
      <c r="E546" s="2" t="n">
        <v>0.013</v>
      </c>
      <c r="F546" s="2" t="n">
        <v>76</v>
      </c>
      <c r="G546" s="2" t="n">
        <v>400</v>
      </c>
      <c r="H546" s="2" t="n">
        <v>26</v>
      </c>
      <c r="I546" s="2" t="n">
        <v>260</v>
      </c>
      <c r="J546" s="2"/>
      <c r="K546" s="2" t="n">
        <v>1</v>
      </c>
      <c r="L546" s="2" t="n">
        <v>1</v>
      </c>
      <c r="M546" s="2" t="n">
        <v>0</v>
      </c>
      <c r="N546" s="2" t="n">
        <v>0</v>
      </c>
      <c r="O546" s="2" t="n">
        <v>0</v>
      </c>
      <c r="P546" s="2" t="n">
        <v>1</v>
      </c>
      <c r="Q546" s="2" t="n">
        <v>1</v>
      </c>
      <c r="R546" s="2" t="n">
        <v>0</v>
      </c>
      <c r="S546" s="2" t="n">
        <f aca="false">A547-A546</f>
        <v>0.199999999999989</v>
      </c>
      <c r="T546" s="2" t="n">
        <f aca="false">C546+Summary!$C$8*D546</f>
        <v>1.1161565</v>
      </c>
      <c r="U546" s="2" t="n">
        <f aca="false">B546*T546</f>
        <v>12.7788757685</v>
      </c>
      <c r="V546" s="2" t="n">
        <f aca="false">B546*C546</f>
        <v>12.731288</v>
      </c>
      <c r="W546" s="2" t="s">
        <v>78</v>
      </c>
      <c r="X546" s="2" t="s">
        <v>11</v>
      </c>
    </row>
    <row r="547" customFormat="false" ht="15" hidden="false" customHeight="false" outlineLevel="0" collapsed="false">
      <c r="A547" s="2" t="n">
        <v>283.9</v>
      </c>
      <c r="B547" s="2" t="n">
        <v>11.543</v>
      </c>
      <c r="C547" s="2" t="n">
        <v>0.74</v>
      </c>
      <c r="D547" s="2" t="n">
        <v>0.045</v>
      </c>
      <c r="E547" s="2" t="n">
        <v>0.353</v>
      </c>
      <c r="F547" s="2" t="n">
        <v>76</v>
      </c>
      <c r="G547" s="2" t="n">
        <v>400</v>
      </c>
      <c r="H547" s="2" t="n">
        <v>379</v>
      </c>
      <c r="I547" s="2" t="n">
        <v>258</v>
      </c>
      <c r="J547" s="2"/>
      <c r="K547" s="2" t="n">
        <v>1</v>
      </c>
      <c r="L547" s="2" t="n">
        <v>1</v>
      </c>
      <c r="M547" s="2" t="n">
        <v>0</v>
      </c>
      <c r="N547" s="2" t="n">
        <v>0</v>
      </c>
      <c r="O547" s="2" t="n">
        <v>0</v>
      </c>
      <c r="P547" s="2" t="n">
        <v>1</v>
      </c>
      <c r="Q547" s="2" t="n">
        <v>1</v>
      </c>
      <c r="R547" s="2" t="n">
        <v>0</v>
      </c>
      <c r="S547" s="2" t="n">
        <f aca="false">A548-A547</f>
        <v>0.210000000000036</v>
      </c>
      <c r="T547" s="2" t="n">
        <f aca="false">C547+Summary!$C$8*D547</f>
        <v>0.7436675</v>
      </c>
      <c r="U547" s="2" t="n">
        <f aca="false">B547*T547</f>
        <v>8.5841539525</v>
      </c>
      <c r="V547" s="2" t="n">
        <f aca="false">B547*C547</f>
        <v>8.54182</v>
      </c>
      <c r="W547" s="2" t="s">
        <v>78</v>
      </c>
      <c r="X547" s="2" t="s">
        <v>11</v>
      </c>
    </row>
    <row r="548" customFormat="false" ht="15" hidden="false" customHeight="false" outlineLevel="0" collapsed="false">
      <c r="A548" s="2" t="n">
        <v>284.11</v>
      </c>
      <c r="B548" s="2" t="n">
        <v>11.621</v>
      </c>
      <c r="C548" s="2" t="n">
        <v>0.578</v>
      </c>
      <c r="D548" s="2" t="n">
        <v>0.05</v>
      </c>
      <c r="E548" s="2" t="n">
        <v>0.598</v>
      </c>
      <c r="F548" s="2" t="n">
        <v>76</v>
      </c>
      <c r="G548" s="2" t="n">
        <v>32</v>
      </c>
      <c r="H548" s="2" t="n">
        <v>367</v>
      </c>
      <c r="I548" s="2" t="n">
        <v>35</v>
      </c>
      <c r="J548" s="2"/>
      <c r="K548" s="2" t="n">
        <v>1</v>
      </c>
      <c r="L548" s="2" t="n">
        <v>1</v>
      </c>
      <c r="M548" s="2" t="n">
        <v>0</v>
      </c>
      <c r="N548" s="2" t="n">
        <v>0</v>
      </c>
      <c r="O548" s="2" t="n">
        <v>0</v>
      </c>
      <c r="P548" s="2" t="n">
        <v>1</v>
      </c>
      <c r="Q548" s="2" t="n">
        <v>1</v>
      </c>
      <c r="R548" s="2" t="n">
        <v>0</v>
      </c>
      <c r="S548" s="2" t="n">
        <f aca="false">A549-A548</f>
        <v>0.189999999999998</v>
      </c>
      <c r="T548" s="2" t="n">
        <f aca="false">C548+Summary!$C$8*D548</f>
        <v>0.582075</v>
      </c>
      <c r="U548" s="2" t="n">
        <f aca="false">B548*T548</f>
        <v>6.764293575</v>
      </c>
      <c r="V548" s="2" t="n">
        <f aca="false">B548*C548</f>
        <v>6.716938</v>
      </c>
      <c r="W548" s="2" t="s">
        <v>78</v>
      </c>
      <c r="X548" s="2" t="s">
        <v>11</v>
      </c>
    </row>
    <row r="549" customFormat="false" ht="15" hidden="false" customHeight="false" outlineLevel="0" collapsed="false">
      <c r="A549" s="2" t="n">
        <v>284.3</v>
      </c>
      <c r="B549" s="2" t="n">
        <v>11.629</v>
      </c>
      <c r="C549" s="2" t="n">
        <v>0.555</v>
      </c>
      <c r="D549" s="2" t="n">
        <v>0.05</v>
      </c>
      <c r="E549" s="2" t="n">
        <v>0.598</v>
      </c>
      <c r="F549" s="2" t="n">
        <v>76</v>
      </c>
      <c r="G549" s="2" t="n">
        <v>32</v>
      </c>
      <c r="H549" s="2" t="n">
        <v>360</v>
      </c>
      <c r="I549" s="2" t="n">
        <v>235</v>
      </c>
      <c r="J549" s="2"/>
      <c r="K549" s="2" t="n">
        <v>1</v>
      </c>
      <c r="L549" s="2" t="n">
        <v>1</v>
      </c>
      <c r="M549" s="2" t="n">
        <v>0</v>
      </c>
      <c r="N549" s="2" t="n">
        <v>0</v>
      </c>
      <c r="O549" s="2" t="n">
        <v>0</v>
      </c>
      <c r="P549" s="2" t="n">
        <v>1</v>
      </c>
      <c r="Q549" s="2" t="n">
        <v>1</v>
      </c>
      <c r="R549" s="2" t="n">
        <v>0</v>
      </c>
      <c r="S549" s="2" t="n">
        <f aca="false">A550-A549</f>
        <v>0.199999999999989</v>
      </c>
      <c r="T549" s="2" t="n">
        <f aca="false">C549+Summary!$C$8*D549</f>
        <v>0.559075</v>
      </c>
      <c r="U549" s="2" t="n">
        <f aca="false">B549*T549</f>
        <v>6.501483175</v>
      </c>
      <c r="V549" s="2" t="n">
        <f aca="false">B549*C549</f>
        <v>6.454095</v>
      </c>
      <c r="W549" s="2" t="s">
        <v>78</v>
      </c>
      <c r="X549" s="2" t="s">
        <v>11</v>
      </c>
    </row>
    <row r="550" customFormat="false" ht="15" hidden="false" customHeight="false" outlineLevel="0" collapsed="false">
      <c r="A550" s="2" t="n">
        <v>284.5</v>
      </c>
      <c r="B550" s="2" t="n">
        <v>11.676</v>
      </c>
      <c r="C550" s="2" t="n">
        <v>0.489</v>
      </c>
      <c r="D550" s="2" t="n">
        <v>0.047</v>
      </c>
      <c r="E550" s="2" t="n">
        <v>0.694</v>
      </c>
      <c r="F550" s="2" t="n">
        <v>76</v>
      </c>
      <c r="G550" s="2" t="n">
        <v>400</v>
      </c>
      <c r="H550" s="2" t="n">
        <v>351</v>
      </c>
      <c r="I550" s="2" t="n">
        <v>18</v>
      </c>
      <c r="J550" s="2"/>
      <c r="K550" s="2" t="n">
        <v>1</v>
      </c>
      <c r="L550" s="2" t="n">
        <v>1</v>
      </c>
      <c r="M550" s="2" t="n">
        <v>0</v>
      </c>
      <c r="N550" s="2" t="n">
        <v>0</v>
      </c>
      <c r="O550" s="2" t="n">
        <v>0</v>
      </c>
      <c r="P550" s="2" t="n">
        <v>1</v>
      </c>
      <c r="Q550" s="2" t="n">
        <v>1</v>
      </c>
      <c r="R550" s="2" t="n">
        <v>0</v>
      </c>
      <c r="S550" s="2" t="n">
        <f aca="false">A551-A550</f>
        <v>0.199999999999989</v>
      </c>
      <c r="T550" s="2" t="n">
        <f aca="false">C550+Summary!$C$8*D550</f>
        <v>0.4928305</v>
      </c>
      <c r="U550" s="2" t="n">
        <f aca="false">B550*T550</f>
        <v>5.754288918</v>
      </c>
      <c r="V550" s="2" t="n">
        <f aca="false">B550*C550</f>
        <v>5.709564</v>
      </c>
      <c r="W550" s="2" t="s">
        <v>78</v>
      </c>
      <c r="X550" s="2" t="s">
        <v>11</v>
      </c>
    </row>
    <row r="551" customFormat="false" ht="15" hidden="false" customHeight="false" outlineLevel="0" collapsed="false">
      <c r="A551" s="2" t="n">
        <v>284.7</v>
      </c>
      <c r="B551" s="2" t="n">
        <v>11.638</v>
      </c>
      <c r="C551" s="2" t="n">
        <v>0.602</v>
      </c>
      <c r="D551" s="2" t="n">
        <v>0.038</v>
      </c>
      <c r="E551" s="2" t="n">
        <v>0.68</v>
      </c>
      <c r="F551" s="2" t="n">
        <v>76</v>
      </c>
      <c r="G551" s="2" t="n">
        <v>400</v>
      </c>
      <c r="H551" s="2" t="n">
        <v>45</v>
      </c>
      <c r="I551" s="2" t="n">
        <v>216</v>
      </c>
      <c r="J551" s="2"/>
      <c r="K551" s="2" t="n">
        <v>1</v>
      </c>
      <c r="L551" s="2" t="n">
        <v>1</v>
      </c>
      <c r="M551" s="2" t="n">
        <v>0</v>
      </c>
      <c r="N551" s="2" t="n">
        <v>0</v>
      </c>
      <c r="O551" s="2" t="n">
        <v>0</v>
      </c>
      <c r="P551" s="2" t="n">
        <v>1</v>
      </c>
      <c r="Q551" s="2" t="n">
        <v>1</v>
      </c>
      <c r="R551" s="2" t="n">
        <v>0</v>
      </c>
      <c r="S551" s="2" t="n">
        <f aca="false">A552-A551</f>
        <v>0.199999999999989</v>
      </c>
      <c r="T551" s="2" t="n">
        <f aca="false">C551+Summary!$C$8*D551</f>
        <v>0.605097</v>
      </c>
      <c r="U551" s="2" t="n">
        <f aca="false">B551*T551</f>
        <v>7.042118886</v>
      </c>
      <c r="V551" s="2" t="n">
        <f aca="false">B551*C551</f>
        <v>7.006076</v>
      </c>
      <c r="W551" s="2" t="s">
        <v>78</v>
      </c>
      <c r="X551" s="2" t="s">
        <v>11</v>
      </c>
    </row>
    <row r="552" customFormat="false" ht="15" hidden="false" customHeight="false" outlineLevel="0" collapsed="false">
      <c r="A552" s="2" t="n">
        <v>284.9</v>
      </c>
      <c r="B552" s="2" t="n">
        <v>11.648</v>
      </c>
      <c r="C552" s="2" t="n">
        <v>0.563</v>
      </c>
      <c r="D552" s="2" t="n">
        <v>0.045</v>
      </c>
      <c r="E552" s="2" t="n">
        <v>0.653</v>
      </c>
      <c r="F552" s="2" t="n">
        <v>76</v>
      </c>
      <c r="G552" s="2" t="n">
        <v>23</v>
      </c>
      <c r="H552" s="2" t="n">
        <v>400</v>
      </c>
      <c r="I552" s="2" t="n">
        <v>224</v>
      </c>
      <c r="J552" s="2"/>
      <c r="K552" s="2" t="n">
        <v>1</v>
      </c>
      <c r="L552" s="2" t="n">
        <v>1</v>
      </c>
      <c r="M552" s="2" t="n">
        <v>0</v>
      </c>
      <c r="N552" s="2" t="n">
        <v>0</v>
      </c>
      <c r="O552" s="2" t="n">
        <v>0</v>
      </c>
      <c r="P552" s="2" t="n">
        <v>1</v>
      </c>
      <c r="Q552" s="2" t="n">
        <v>1</v>
      </c>
      <c r="R552" s="2" t="n">
        <v>0</v>
      </c>
      <c r="S552" s="2" t="n">
        <f aca="false">A553-A552</f>
        <v>0.200000000000045</v>
      </c>
      <c r="T552" s="2" t="n">
        <f aca="false">C552+Summary!$C$8*D552</f>
        <v>0.5666675</v>
      </c>
      <c r="U552" s="2" t="n">
        <f aca="false">B552*T552</f>
        <v>6.60054304</v>
      </c>
      <c r="V552" s="2" t="n">
        <f aca="false">B552*C552</f>
        <v>6.557824</v>
      </c>
      <c r="W552" s="2" t="s">
        <v>78</v>
      </c>
      <c r="X552" s="2" t="s">
        <v>11</v>
      </c>
    </row>
    <row r="553" customFormat="false" ht="15" hidden="false" customHeight="false" outlineLevel="0" collapsed="false">
      <c r="A553" s="2" t="n">
        <v>285.1</v>
      </c>
      <c r="B553" s="2" t="n">
        <v>11.629</v>
      </c>
      <c r="C553" s="2" t="n">
        <v>0.549</v>
      </c>
      <c r="D553" s="2" t="n">
        <v>0.048</v>
      </c>
      <c r="E553" s="2" t="n">
        <v>0.694</v>
      </c>
      <c r="F553" s="2" t="n">
        <v>76</v>
      </c>
      <c r="G553" s="2" t="n">
        <v>242</v>
      </c>
      <c r="H553" s="2" t="n">
        <v>21</v>
      </c>
      <c r="I553" s="2" t="n">
        <v>46</v>
      </c>
      <c r="J553" s="2"/>
      <c r="K553" s="2" t="n">
        <v>1</v>
      </c>
      <c r="L553" s="2" t="n">
        <v>1</v>
      </c>
      <c r="M553" s="2" t="n">
        <v>0</v>
      </c>
      <c r="N553" s="2" t="n">
        <v>0</v>
      </c>
      <c r="O553" s="2" t="n">
        <v>0</v>
      </c>
      <c r="P553" s="2" t="n">
        <v>1</v>
      </c>
      <c r="Q553" s="2" t="n">
        <v>1</v>
      </c>
      <c r="R553" s="2" t="n">
        <v>0</v>
      </c>
      <c r="S553" s="2" t="n">
        <f aca="false">A554-A553</f>
        <v>0.20999999999998</v>
      </c>
      <c r="T553" s="2" t="n">
        <f aca="false">C553+Summary!$C$8*D553</f>
        <v>0.552912</v>
      </c>
      <c r="U553" s="2" t="n">
        <f aca="false">B553*T553</f>
        <v>6.429813648</v>
      </c>
      <c r="V553" s="2" t="n">
        <f aca="false">B553*C553</f>
        <v>6.384321</v>
      </c>
      <c r="W553" s="2" t="s">
        <v>78</v>
      </c>
      <c r="X553" s="2" t="s">
        <v>11</v>
      </c>
    </row>
    <row r="554" customFormat="false" ht="15" hidden="false" customHeight="false" outlineLevel="0" collapsed="false">
      <c r="A554" s="2" t="n">
        <v>285.31</v>
      </c>
      <c r="B554" s="2" t="n">
        <v>11.621</v>
      </c>
      <c r="C554" s="2" t="n">
        <v>0.558</v>
      </c>
      <c r="D554" s="2" t="n">
        <v>0.026</v>
      </c>
      <c r="E554" s="2" t="n">
        <v>0.694</v>
      </c>
      <c r="F554" s="2" t="n">
        <v>76</v>
      </c>
      <c r="G554" s="2" t="n">
        <v>225</v>
      </c>
      <c r="H554" s="2" t="n">
        <v>318</v>
      </c>
      <c r="I554" s="2" t="n">
        <v>187</v>
      </c>
      <c r="J554" s="2"/>
      <c r="K554" s="2" t="n">
        <v>1</v>
      </c>
      <c r="L554" s="2" t="n">
        <v>1</v>
      </c>
      <c r="M554" s="2" t="n">
        <v>0</v>
      </c>
      <c r="N554" s="2" t="n">
        <v>0</v>
      </c>
      <c r="O554" s="2" t="n">
        <v>0</v>
      </c>
      <c r="P554" s="2" t="n">
        <v>1</v>
      </c>
      <c r="Q554" s="2" t="n">
        <v>1</v>
      </c>
      <c r="R554" s="2" t="n">
        <v>0</v>
      </c>
      <c r="S554" s="2" t="n">
        <f aca="false">A555-A554</f>
        <v>0.199999999999989</v>
      </c>
      <c r="T554" s="2" t="n">
        <f aca="false">C554+Summary!$C$8*D554</f>
        <v>0.560119</v>
      </c>
      <c r="U554" s="2" t="n">
        <f aca="false">B554*T554</f>
        <v>6.509142899</v>
      </c>
      <c r="V554" s="2" t="n">
        <f aca="false">B554*C554</f>
        <v>6.484518</v>
      </c>
      <c r="W554" s="2" t="s">
        <v>78</v>
      </c>
      <c r="X554" s="2" t="s">
        <v>11</v>
      </c>
    </row>
    <row r="555" customFormat="false" ht="15" hidden="false" customHeight="false" outlineLevel="0" collapsed="false">
      <c r="A555" s="2" t="n">
        <v>285.51</v>
      </c>
      <c r="B555" s="2" t="n">
        <v>11.609</v>
      </c>
      <c r="C555" s="2" t="n">
        <v>0.623</v>
      </c>
      <c r="D555" s="2" t="n">
        <v>0.026</v>
      </c>
      <c r="E555" s="2" t="n">
        <v>0.694</v>
      </c>
      <c r="F555" s="2" t="n">
        <v>76</v>
      </c>
      <c r="G555" s="2" t="n">
        <v>215</v>
      </c>
      <c r="H555" s="2" t="n">
        <v>400</v>
      </c>
      <c r="I555" s="2" t="n">
        <v>37</v>
      </c>
      <c r="J555" s="2"/>
      <c r="K555" s="2" t="n">
        <v>1</v>
      </c>
      <c r="L555" s="2" t="n">
        <v>1</v>
      </c>
      <c r="M555" s="2" t="n">
        <v>0</v>
      </c>
      <c r="N555" s="2" t="n">
        <v>0</v>
      </c>
      <c r="O555" s="2" t="n">
        <v>0</v>
      </c>
      <c r="P555" s="2" t="n">
        <v>1</v>
      </c>
      <c r="Q555" s="2" t="n">
        <v>1</v>
      </c>
      <c r="R555" s="2" t="n">
        <v>0</v>
      </c>
      <c r="S555" s="2" t="n">
        <f aca="false">A556-A555</f>
        <v>0.199999999999989</v>
      </c>
      <c r="T555" s="2" t="n">
        <f aca="false">C555+Summary!$C$8*D555</f>
        <v>0.625119</v>
      </c>
      <c r="U555" s="2" t="n">
        <f aca="false">B555*T555</f>
        <v>7.257006471</v>
      </c>
      <c r="V555" s="2" t="n">
        <f aca="false">B555*C555</f>
        <v>7.232407</v>
      </c>
      <c r="W555" s="2" t="s">
        <v>78</v>
      </c>
      <c r="X555" s="2" t="s">
        <v>11</v>
      </c>
    </row>
    <row r="556" customFormat="false" ht="15" hidden="false" customHeight="false" outlineLevel="0" collapsed="false">
      <c r="A556" s="2" t="n">
        <v>285.71</v>
      </c>
      <c r="B556" s="2" t="n">
        <v>11.63</v>
      </c>
      <c r="C556" s="2" t="n">
        <v>0.528</v>
      </c>
      <c r="D556" s="2" t="n">
        <v>0.024</v>
      </c>
      <c r="E556" s="2" t="n">
        <v>0.68</v>
      </c>
      <c r="F556" s="2" t="n">
        <v>76</v>
      </c>
      <c r="G556" s="2" t="n">
        <v>206</v>
      </c>
      <c r="H556" s="2" t="n">
        <v>301</v>
      </c>
      <c r="I556" s="2" t="n">
        <v>152</v>
      </c>
      <c r="J556" s="2"/>
      <c r="K556" s="2" t="n">
        <v>1</v>
      </c>
      <c r="L556" s="2" t="n">
        <v>1</v>
      </c>
      <c r="M556" s="2" t="n">
        <v>0</v>
      </c>
      <c r="N556" s="2" t="n">
        <v>0</v>
      </c>
      <c r="O556" s="2" t="n">
        <v>0</v>
      </c>
      <c r="P556" s="2" t="n">
        <v>1</v>
      </c>
      <c r="Q556" s="2" t="n">
        <v>1</v>
      </c>
      <c r="R556" s="2" t="n">
        <v>0</v>
      </c>
      <c r="S556" s="2" t="n">
        <f aca="false">A557-A556</f>
        <v>0.200000000000045</v>
      </c>
      <c r="T556" s="2" t="n">
        <f aca="false">C556+Summary!$C$8*D556</f>
        <v>0.529956</v>
      </c>
      <c r="U556" s="2" t="n">
        <f aca="false">B556*T556</f>
        <v>6.16338828</v>
      </c>
      <c r="V556" s="2" t="n">
        <f aca="false">B556*C556</f>
        <v>6.14064</v>
      </c>
      <c r="W556" s="2" t="s">
        <v>78</v>
      </c>
      <c r="X556" s="2" t="s">
        <v>11</v>
      </c>
    </row>
    <row r="557" customFormat="false" ht="15" hidden="false" customHeight="false" outlineLevel="0" collapsed="false">
      <c r="A557" s="2" t="n">
        <v>285.91</v>
      </c>
      <c r="B557" s="2" t="n">
        <v>11.754</v>
      </c>
      <c r="C557" s="2" t="n">
        <v>0.181</v>
      </c>
      <c r="D557" s="2" t="n">
        <v>0.032</v>
      </c>
      <c r="E557" s="2" t="n">
        <v>0.696</v>
      </c>
      <c r="F557" s="2" t="n">
        <v>76</v>
      </c>
      <c r="G557" s="2" t="n">
        <v>400</v>
      </c>
      <c r="H557" s="2" t="n">
        <v>400</v>
      </c>
      <c r="I557" s="2" t="n">
        <v>47</v>
      </c>
      <c r="J557" s="2"/>
      <c r="K557" s="2" t="n">
        <v>1</v>
      </c>
      <c r="L557" s="2" t="n">
        <v>1</v>
      </c>
      <c r="M557" s="2" t="n">
        <v>0</v>
      </c>
      <c r="N557" s="2" t="n">
        <v>0</v>
      </c>
      <c r="O557" s="2" t="n">
        <v>0</v>
      </c>
      <c r="P557" s="2" t="n">
        <v>1</v>
      </c>
      <c r="Q557" s="2" t="n">
        <v>1</v>
      </c>
      <c r="R557" s="2" t="n">
        <v>0</v>
      </c>
      <c r="S557" s="2" t="n">
        <f aca="false">A558-A557</f>
        <v>0.199999999999989</v>
      </c>
      <c r="T557" s="2" t="n">
        <f aca="false">C557+Summary!$C$8*D557</f>
        <v>0.183608</v>
      </c>
      <c r="U557" s="2" t="n">
        <f aca="false">B557*T557</f>
        <v>2.158128432</v>
      </c>
      <c r="V557" s="2" t="n">
        <f aca="false">B557*C557</f>
        <v>2.127474</v>
      </c>
      <c r="W557" s="2" t="s">
        <v>78</v>
      </c>
      <c r="X557" s="2" t="s">
        <v>11</v>
      </c>
    </row>
    <row r="558" customFormat="false" ht="15" hidden="false" customHeight="false" outlineLevel="0" collapsed="false">
      <c r="A558" s="2" t="n">
        <v>286.11</v>
      </c>
      <c r="B558" s="2" t="n">
        <v>11.782</v>
      </c>
      <c r="C558" s="2" t="n">
        <v>0.109</v>
      </c>
      <c r="D558" s="2" t="n">
        <v>0.026</v>
      </c>
      <c r="E558" s="2" t="n">
        <v>0.517</v>
      </c>
      <c r="F558" s="2" t="n">
        <v>76</v>
      </c>
      <c r="G558" s="2" t="n">
        <v>172</v>
      </c>
      <c r="H558" s="2" t="n">
        <v>400</v>
      </c>
      <c r="I558" s="2" t="n">
        <v>42</v>
      </c>
      <c r="J558" s="2"/>
      <c r="K558" s="2" t="n">
        <v>1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1</v>
      </c>
      <c r="Q558" s="2" t="n">
        <v>1</v>
      </c>
      <c r="R558" s="2" t="n">
        <v>0</v>
      </c>
      <c r="S558" s="2" t="n">
        <f aca="false">A559-A558</f>
        <v>0.199999999999989</v>
      </c>
      <c r="T558" s="2" t="n">
        <f aca="false">C558+Summary!$C$8*D558</f>
        <v>0.111119</v>
      </c>
      <c r="U558" s="2" t="n">
        <f aca="false">B558*T558</f>
        <v>1.309204058</v>
      </c>
      <c r="V558" s="2" t="n">
        <f aca="false">B558*C558</f>
        <v>1.284238</v>
      </c>
      <c r="W558" s="2" t="s">
        <v>78</v>
      </c>
      <c r="X558" s="2" t="s">
        <v>11</v>
      </c>
    </row>
    <row r="559" customFormat="false" ht="15" hidden="false" customHeight="false" outlineLevel="0" collapsed="false">
      <c r="A559" s="2" t="n">
        <v>286.31</v>
      </c>
      <c r="B559" s="2" t="n">
        <v>11.786</v>
      </c>
      <c r="C559" s="2" t="n">
        <v>0.109</v>
      </c>
      <c r="D559" s="2" t="n">
        <v>0.026</v>
      </c>
      <c r="E559" s="2" t="n">
        <v>0.517</v>
      </c>
      <c r="F559" s="2" t="n">
        <v>76</v>
      </c>
      <c r="G559" s="2" t="n">
        <v>169</v>
      </c>
      <c r="H559" s="2" t="n">
        <v>46</v>
      </c>
      <c r="I559" s="2" t="n">
        <v>135</v>
      </c>
      <c r="J559" s="2"/>
      <c r="K559" s="2" t="n">
        <v>1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1</v>
      </c>
      <c r="Q559" s="2" t="n">
        <v>1</v>
      </c>
      <c r="R559" s="2" t="n">
        <v>0</v>
      </c>
      <c r="S559" s="2" t="n">
        <f aca="false">A560-A559</f>
        <v>0.199999999999989</v>
      </c>
      <c r="T559" s="2" t="n">
        <f aca="false">C559+Summary!$C$8*D559</f>
        <v>0.111119</v>
      </c>
      <c r="U559" s="2" t="n">
        <f aca="false">B559*T559</f>
        <v>1.309648534</v>
      </c>
      <c r="V559" s="2" t="n">
        <f aca="false">B559*C559</f>
        <v>1.284674</v>
      </c>
      <c r="W559" s="2" t="s">
        <v>78</v>
      </c>
      <c r="X559" s="2" t="s">
        <v>11</v>
      </c>
    </row>
    <row r="560" customFormat="false" ht="15" hidden="false" customHeight="false" outlineLevel="0" collapsed="false">
      <c r="A560" s="2" t="n">
        <v>286.51</v>
      </c>
      <c r="B560" s="2" t="n">
        <v>11.79</v>
      </c>
      <c r="C560" s="2" t="n">
        <v>0.109</v>
      </c>
      <c r="D560" s="2" t="n">
        <v>0.027</v>
      </c>
      <c r="E560" s="2" t="n">
        <v>0.231</v>
      </c>
      <c r="F560" s="2" t="n">
        <v>76</v>
      </c>
      <c r="G560" s="2" t="n">
        <v>25</v>
      </c>
      <c r="H560" s="2" t="n">
        <v>400</v>
      </c>
      <c r="I560" s="2" t="n">
        <v>121</v>
      </c>
      <c r="J560" s="2"/>
      <c r="K560" s="2" t="n">
        <v>1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1</v>
      </c>
      <c r="Q560" s="2" t="n">
        <v>1</v>
      </c>
      <c r="R560" s="2" t="n">
        <v>0</v>
      </c>
      <c r="S560" s="2" t="n">
        <f aca="false">A561-A560</f>
        <v>0.199999999999989</v>
      </c>
      <c r="T560" s="2" t="n">
        <f aca="false">C560+Summary!$C$8*D560</f>
        <v>0.1112005</v>
      </c>
      <c r="U560" s="2" t="n">
        <f aca="false">B560*T560</f>
        <v>1.311053895</v>
      </c>
      <c r="V560" s="2" t="n">
        <f aca="false">B560*C560</f>
        <v>1.28511</v>
      </c>
      <c r="W560" s="2" t="s">
        <v>78</v>
      </c>
      <c r="X560" s="2" t="s">
        <v>11</v>
      </c>
    </row>
    <row r="561" customFormat="false" ht="15" hidden="false" customHeight="false" outlineLevel="0" collapsed="false">
      <c r="A561" s="2" t="n">
        <v>286.71</v>
      </c>
      <c r="B561" s="2" t="n">
        <v>11.79</v>
      </c>
      <c r="C561" s="2" t="n">
        <v>0.11</v>
      </c>
      <c r="D561" s="2" t="n">
        <v>0.025</v>
      </c>
      <c r="E561" s="2" t="n">
        <v>0.04</v>
      </c>
      <c r="F561" s="2" t="n">
        <v>76</v>
      </c>
      <c r="G561" s="2" t="n">
        <v>26</v>
      </c>
      <c r="H561" s="2" t="n">
        <v>314</v>
      </c>
      <c r="I561" s="2" t="n">
        <v>123</v>
      </c>
      <c r="J561" s="2"/>
      <c r="K561" s="2" t="n">
        <v>1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1</v>
      </c>
      <c r="Q561" s="2" t="n">
        <v>1</v>
      </c>
      <c r="R561" s="2" t="n">
        <v>0</v>
      </c>
      <c r="S561" s="2" t="n">
        <f aca="false">A562-A561</f>
        <v>0.200000000000045</v>
      </c>
      <c r="T561" s="2" t="n">
        <f aca="false">C561+Summary!$C$8*D561</f>
        <v>0.1120375</v>
      </c>
      <c r="U561" s="2" t="n">
        <f aca="false">B561*T561</f>
        <v>1.320922125</v>
      </c>
      <c r="V561" s="2" t="n">
        <f aca="false">B561*C561</f>
        <v>1.2969</v>
      </c>
      <c r="W561" s="2" t="s">
        <v>78</v>
      </c>
      <c r="X561" s="2" t="s">
        <v>11</v>
      </c>
    </row>
    <row r="562" customFormat="false" ht="15" hidden="false" customHeight="false" outlineLevel="0" collapsed="false">
      <c r="A562" s="2" t="n">
        <v>286.91</v>
      </c>
      <c r="B562" s="2" t="n">
        <v>11.786</v>
      </c>
      <c r="C562" s="2" t="n">
        <v>0.109</v>
      </c>
      <c r="D562" s="2" t="n">
        <v>0.028</v>
      </c>
      <c r="E562" s="2" t="n">
        <v>0</v>
      </c>
      <c r="F562" s="2" t="n">
        <v>76</v>
      </c>
      <c r="G562" s="2" t="n">
        <v>24</v>
      </c>
      <c r="H562" s="2" t="n">
        <v>316</v>
      </c>
      <c r="I562" s="2" t="n">
        <v>122</v>
      </c>
      <c r="J562" s="2"/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1</v>
      </c>
      <c r="Q562" s="2" t="n">
        <v>1</v>
      </c>
      <c r="R562" s="2" t="n">
        <v>0</v>
      </c>
      <c r="S562" s="2" t="n">
        <f aca="false">A563-A562</f>
        <v>0.199999999999989</v>
      </c>
      <c r="T562" s="2" t="n">
        <f aca="false">C562+Summary!$C$8*D562</f>
        <v>0.111282</v>
      </c>
      <c r="U562" s="2" t="n">
        <f aca="false">B562*T562</f>
        <v>1.311569652</v>
      </c>
      <c r="V562" s="2" t="n">
        <f aca="false">B562*C562</f>
        <v>1.284674</v>
      </c>
      <c r="W562" s="2" t="s">
        <v>78</v>
      </c>
      <c r="X562" s="2" t="s">
        <v>11</v>
      </c>
    </row>
    <row r="563" customFormat="false" ht="15" hidden="false" customHeight="false" outlineLevel="0" collapsed="false">
      <c r="A563" s="2" t="n">
        <v>287.11</v>
      </c>
      <c r="B563" s="2" t="n">
        <v>11.787</v>
      </c>
      <c r="C563" s="2" t="n">
        <v>0.11</v>
      </c>
      <c r="D563" s="2" t="n">
        <v>0.026</v>
      </c>
      <c r="E563" s="2" t="n">
        <v>0</v>
      </c>
      <c r="F563" s="2" t="n">
        <v>76</v>
      </c>
      <c r="G563" s="2" t="n">
        <v>25</v>
      </c>
      <c r="H563" s="2" t="n">
        <v>400</v>
      </c>
      <c r="I563" s="2" t="n">
        <v>121</v>
      </c>
      <c r="J563" s="2"/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1</v>
      </c>
      <c r="Q563" s="2" t="n">
        <v>1</v>
      </c>
      <c r="R563" s="2" t="n">
        <v>0</v>
      </c>
      <c r="S563" s="2" t="n">
        <f aca="false">A564-A563</f>
        <v>0.199999999999989</v>
      </c>
      <c r="T563" s="2" t="n">
        <f aca="false">C563+Summary!$C$8*D563</f>
        <v>0.112119</v>
      </c>
      <c r="U563" s="2" t="n">
        <f aca="false">B563*T563</f>
        <v>1.321546653</v>
      </c>
      <c r="V563" s="2" t="n">
        <f aca="false">B563*C563</f>
        <v>1.29657</v>
      </c>
    </row>
    <row r="564" customFormat="false" ht="15" hidden="false" customHeight="false" outlineLevel="0" collapsed="false">
      <c r="A564" s="2" t="n">
        <v>287.31</v>
      </c>
      <c r="B564" s="2" t="n">
        <v>11.79</v>
      </c>
      <c r="C564" s="2" t="n">
        <v>0.109</v>
      </c>
      <c r="D564" s="2" t="n">
        <v>0.022</v>
      </c>
      <c r="E564" s="2" t="n">
        <v>0</v>
      </c>
      <c r="F564" s="2" t="n">
        <v>76</v>
      </c>
      <c r="G564" s="2" t="n">
        <v>25</v>
      </c>
      <c r="H564" s="2" t="n">
        <v>314</v>
      </c>
      <c r="I564" s="2" t="n">
        <v>121</v>
      </c>
      <c r="J564" s="2"/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1</v>
      </c>
      <c r="Q564" s="2" t="n">
        <v>1</v>
      </c>
      <c r="R564" s="2" t="n">
        <v>0</v>
      </c>
      <c r="S564" s="2" t="n">
        <f aca="false">A565-A564</f>
        <v>0.199999999999989</v>
      </c>
      <c r="T564" s="2" t="n">
        <f aca="false">C564+Summary!$C$8*D564</f>
        <v>0.110793</v>
      </c>
      <c r="U564" s="2" t="n">
        <f aca="false">B564*T564</f>
        <v>1.30624947</v>
      </c>
      <c r="V564" s="2" t="n">
        <f aca="false">B564*C564</f>
        <v>1.28511</v>
      </c>
    </row>
    <row r="565" customFormat="false" ht="15" hidden="false" customHeight="false" outlineLevel="0" collapsed="false">
      <c r="A565" s="2" t="n">
        <v>287.51</v>
      </c>
      <c r="B565" s="2" t="n">
        <v>11.791</v>
      </c>
      <c r="C565" s="2" t="n">
        <v>0.114</v>
      </c>
      <c r="D565" s="2" t="n">
        <v>0.019</v>
      </c>
      <c r="E565" s="2" t="n">
        <v>0</v>
      </c>
      <c r="F565" s="2" t="n">
        <v>76</v>
      </c>
      <c r="G565" s="2" t="n">
        <v>26</v>
      </c>
      <c r="H565" s="2" t="n">
        <v>315</v>
      </c>
      <c r="I565" s="2" t="n">
        <v>121</v>
      </c>
      <c r="J565" s="2"/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1</v>
      </c>
      <c r="Q565" s="2" t="n">
        <v>1</v>
      </c>
      <c r="R565" s="2" t="n">
        <v>0</v>
      </c>
      <c r="S565" s="2" t="n">
        <f aca="false">A566-A565</f>
        <v>0.199999999999989</v>
      </c>
      <c r="T565" s="2" t="n">
        <f aca="false">C565+Summary!$C$8*D565</f>
        <v>0.1155485</v>
      </c>
      <c r="U565" s="2" t="n">
        <f aca="false">B565*T565</f>
        <v>1.3624323635</v>
      </c>
      <c r="V565" s="2" t="n">
        <f aca="false">B565*C565</f>
        <v>1.344174</v>
      </c>
    </row>
    <row r="566" customFormat="false" ht="15" hidden="false" customHeight="false" outlineLevel="0" collapsed="false">
      <c r="A566" s="2" t="n">
        <v>287.71</v>
      </c>
      <c r="B566" s="2" t="n">
        <v>11.79</v>
      </c>
      <c r="C566" s="2" t="n">
        <v>0.109</v>
      </c>
      <c r="D566" s="2" t="n">
        <v>0.02</v>
      </c>
      <c r="E566" s="2" t="n">
        <v>0</v>
      </c>
      <c r="F566" s="2" t="n">
        <v>76</v>
      </c>
      <c r="G566" s="2" t="n">
        <v>26</v>
      </c>
      <c r="H566" s="2" t="n">
        <v>316</v>
      </c>
      <c r="I566" s="2" t="n">
        <v>123</v>
      </c>
      <c r="J566" s="2"/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1</v>
      </c>
      <c r="Q566" s="2" t="n">
        <v>1</v>
      </c>
      <c r="R566" s="2" t="n">
        <v>0</v>
      </c>
      <c r="S566" s="2" t="n">
        <f aca="false">A567-A566</f>
        <v>0.200000000000045</v>
      </c>
      <c r="T566" s="2" t="n">
        <f aca="false">C566+Summary!$C$8*D566</f>
        <v>0.11063</v>
      </c>
      <c r="U566" s="2" t="n">
        <f aca="false">B566*T566</f>
        <v>1.3043277</v>
      </c>
      <c r="V566" s="2" t="n">
        <f aca="false">B566*C566</f>
        <v>1.28511</v>
      </c>
    </row>
    <row r="567" customFormat="false" ht="15" hidden="false" customHeight="false" outlineLevel="0" collapsed="false">
      <c r="A567" s="2" t="n">
        <v>287.91</v>
      </c>
      <c r="B567" s="2" t="n">
        <v>11.791</v>
      </c>
      <c r="C567" s="2" t="n">
        <v>0.109</v>
      </c>
      <c r="D567" s="2" t="n">
        <v>0.019</v>
      </c>
      <c r="E567" s="2" t="n">
        <v>0</v>
      </c>
      <c r="F567" s="2" t="n">
        <v>76</v>
      </c>
      <c r="G567" s="2" t="n">
        <v>26</v>
      </c>
      <c r="H567" s="2" t="n">
        <v>314</v>
      </c>
      <c r="I567" s="2" t="n">
        <v>121</v>
      </c>
      <c r="J567" s="2"/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1</v>
      </c>
      <c r="Q567" s="2" t="n">
        <v>1</v>
      </c>
      <c r="R567" s="2" t="n">
        <v>0</v>
      </c>
      <c r="S567" s="2" t="n">
        <f aca="false">A568-A567</f>
        <v>0.199999999999989</v>
      </c>
      <c r="T567" s="2" t="n">
        <f aca="false">C567+Summary!$C$8*D567</f>
        <v>0.1105485</v>
      </c>
      <c r="U567" s="2" t="n">
        <f aca="false">B567*T567</f>
        <v>1.3034773635</v>
      </c>
      <c r="V567" s="2" t="n">
        <f aca="false">B567*C567</f>
        <v>1.285219</v>
      </c>
    </row>
    <row r="568" customFormat="false" ht="15" hidden="false" customHeight="false" outlineLevel="0" collapsed="false">
      <c r="A568" s="2" t="n">
        <v>288.11</v>
      </c>
      <c r="B568" s="2" t="n">
        <v>11.79</v>
      </c>
      <c r="C568" s="2" t="n">
        <v>0.11</v>
      </c>
      <c r="D568" s="2" t="n">
        <v>0.017</v>
      </c>
      <c r="E568" s="2" t="n">
        <v>0</v>
      </c>
      <c r="F568" s="2" t="n">
        <v>76</v>
      </c>
      <c r="G568" s="2" t="n">
        <v>25</v>
      </c>
      <c r="H568" s="2" t="n">
        <v>314</v>
      </c>
      <c r="I568" s="2" t="n">
        <v>122</v>
      </c>
      <c r="J568" s="2"/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1</v>
      </c>
      <c r="Q568" s="2" t="n">
        <v>1</v>
      </c>
      <c r="R568" s="2" t="n">
        <v>0</v>
      </c>
      <c r="S568" s="2" t="n">
        <f aca="false">A569-A568</f>
        <v>0.199999999999989</v>
      </c>
      <c r="T568" s="2" t="n">
        <f aca="false">C568+Summary!$C$8*D568</f>
        <v>0.1113855</v>
      </c>
      <c r="U568" s="2" t="n">
        <f aca="false">B568*T568</f>
        <v>1.313235045</v>
      </c>
      <c r="V568" s="2" t="n">
        <f aca="false">B568*C568</f>
        <v>1.2969</v>
      </c>
    </row>
    <row r="569" customFormat="false" ht="15" hidden="false" customHeight="false" outlineLevel="0" collapsed="false">
      <c r="A569" s="2" t="n">
        <v>288.31</v>
      </c>
      <c r="B569" s="2" t="n">
        <v>11.787</v>
      </c>
      <c r="C569" s="2" t="n">
        <v>0.111</v>
      </c>
      <c r="D569" s="2" t="n">
        <v>0.017</v>
      </c>
      <c r="E569" s="2" t="n">
        <v>0</v>
      </c>
      <c r="F569" s="2" t="n">
        <v>76</v>
      </c>
      <c r="G569" s="2" t="n">
        <v>25</v>
      </c>
      <c r="H569" s="2" t="n">
        <v>314</v>
      </c>
      <c r="I569" s="2" t="n">
        <v>80</v>
      </c>
      <c r="J569" s="2"/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1</v>
      </c>
      <c r="Q569" s="2" t="n">
        <v>1</v>
      </c>
      <c r="R569" s="2" t="n">
        <v>0</v>
      </c>
      <c r="S569" s="2" t="n">
        <f aca="false">A570-A569</f>
        <v>0.199999999999989</v>
      </c>
      <c r="T569" s="2" t="n">
        <f aca="false">C569+Summary!$C$8*D569</f>
        <v>0.1123855</v>
      </c>
      <c r="U569" s="2" t="n">
        <f aca="false">B569*T569</f>
        <v>1.3246878885</v>
      </c>
      <c r="V569" s="2" t="n">
        <f aca="false">B569*C569</f>
        <v>1.308357</v>
      </c>
    </row>
    <row r="570" customFormat="false" ht="15" hidden="false" customHeight="false" outlineLevel="0" collapsed="false">
      <c r="A570" s="2" t="n">
        <v>288.51</v>
      </c>
      <c r="B570" s="2" t="n">
        <v>11.791</v>
      </c>
      <c r="C570" s="2" t="n">
        <v>0.112</v>
      </c>
      <c r="D570" s="2" t="n">
        <v>0.014</v>
      </c>
      <c r="E570" s="2" t="n">
        <v>0</v>
      </c>
      <c r="F570" s="2" t="n">
        <v>76</v>
      </c>
      <c r="G570" s="2" t="n">
        <v>24</v>
      </c>
      <c r="H570" s="2" t="n">
        <v>314</v>
      </c>
      <c r="I570" s="2" t="n">
        <v>121</v>
      </c>
      <c r="J570" s="2"/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1</v>
      </c>
      <c r="Q570" s="2" t="n">
        <v>1</v>
      </c>
      <c r="R570" s="2" t="n">
        <v>0</v>
      </c>
      <c r="S570" s="2" t="n">
        <f aca="false">A571-A570</f>
        <v>0.199999999999989</v>
      </c>
      <c r="T570" s="2" t="n">
        <f aca="false">C570+Summary!$C$8*D570</f>
        <v>0.113141</v>
      </c>
      <c r="U570" s="2" t="n">
        <f aca="false">B570*T570</f>
        <v>1.334045531</v>
      </c>
      <c r="V570" s="2" t="n">
        <f aca="false">B570*C570</f>
        <v>1.320592</v>
      </c>
    </row>
    <row r="571" customFormat="false" ht="15" hidden="false" customHeight="false" outlineLevel="0" collapsed="false">
      <c r="A571" s="2" t="n">
        <v>288.71</v>
      </c>
      <c r="B571" s="2" t="n">
        <v>11.791</v>
      </c>
      <c r="C571" s="2" t="n">
        <v>0.11</v>
      </c>
      <c r="D571" s="2" t="n">
        <v>0.014</v>
      </c>
      <c r="E571" s="2" t="n">
        <v>0</v>
      </c>
      <c r="F571" s="2" t="n">
        <v>76</v>
      </c>
      <c r="G571" s="2" t="n">
        <v>25</v>
      </c>
      <c r="H571" s="2" t="n">
        <v>314</v>
      </c>
      <c r="I571" s="2" t="n">
        <v>130</v>
      </c>
      <c r="J571" s="2"/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1</v>
      </c>
      <c r="Q571" s="2" t="n">
        <v>1</v>
      </c>
      <c r="R571" s="2" t="n">
        <v>0</v>
      </c>
      <c r="S571" s="2" t="n">
        <f aca="false">A572-A571</f>
        <v>0.200000000000045</v>
      </c>
      <c r="T571" s="2" t="n">
        <f aca="false">C571+Summary!$C$8*D571</f>
        <v>0.111141</v>
      </c>
      <c r="U571" s="2" t="n">
        <f aca="false">B571*T571</f>
        <v>1.310463531</v>
      </c>
      <c r="V571" s="2" t="n">
        <f aca="false">B571*C571</f>
        <v>1.29701</v>
      </c>
    </row>
    <row r="572" customFormat="false" ht="15" hidden="false" customHeight="false" outlineLevel="0" collapsed="false">
      <c r="A572" s="2" t="n">
        <v>288.91</v>
      </c>
      <c r="B572" s="2" t="n">
        <v>11.791</v>
      </c>
      <c r="C572" s="2" t="n">
        <v>0.111</v>
      </c>
      <c r="D572" s="2" t="n">
        <v>0.014</v>
      </c>
      <c r="E572" s="2" t="n">
        <v>0</v>
      </c>
      <c r="F572" s="2" t="n">
        <v>76</v>
      </c>
      <c r="G572" s="2" t="n">
        <v>25</v>
      </c>
      <c r="H572" s="2" t="n">
        <v>314</v>
      </c>
      <c r="I572" s="2" t="n">
        <v>123</v>
      </c>
      <c r="J572" s="2"/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1</v>
      </c>
      <c r="Q572" s="2" t="n">
        <v>1</v>
      </c>
      <c r="R572" s="2" t="n">
        <v>0</v>
      </c>
      <c r="S572" s="2" t="n">
        <f aca="false">A573-A572</f>
        <v>0.199999999999989</v>
      </c>
      <c r="T572" s="2" t="n">
        <f aca="false">C572+Summary!$C$8*D572</f>
        <v>0.112141</v>
      </c>
      <c r="U572" s="2" t="n">
        <f aca="false">B572*T572</f>
        <v>1.322254531</v>
      </c>
      <c r="V572" s="2" t="n">
        <f aca="false">B572*C572</f>
        <v>1.308801</v>
      </c>
    </row>
    <row r="573" customFormat="false" ht="15" hidden="false" customHeight="false" outlineLevel="0" collapsed="false">
      <c r="A573" s="2" t="n">
        <v>289.11</v>
      </c>
      <c r="B573" s="2" t="n">
        <v>11.791</v>
      </c>
      <c r="C573" s="2" t="n">
        <v>0.111</v>
      </c>
      <c r="D573" s="2" t="n">
        <v>0.015</v>
      </c>
      <c r="E573" s="2" t="n">
        <v>0</v>
      </c>
      <c r="F573" s="2" t="n">
        <v>76</v>
      </c>
      <c r="G573" s="2" t="n">
        <v>25</v>
      </c>
      <c r="H573" s="2" t="n">
        <v>277</v>
      </c>
      <c r="I573" s="2" t="n">
        <v>121</v>
      </c>
      <c r="J573" s="2"/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</v>
      </c>
      <c r="Q573" s="2" t="n">
        <v>1</v>
      </c>
      <c r="R573" s="2" t="n">
        <v>0</v>
      </c>
      <c r="S573" s="2" t="n">
        <f aca="false">A574-A573</f>
        <v>0.199999999999989</v>
      </c>
      <c r="T573" s="2" t="n">
        <f aca="false">C573+Summary!$C$8*D573</f>
        <v>0.1122225</v>
      </c>
      <c r="U573" s="2" t="n">
        <f aca="false">B573*T573</f>
        <v>1.3232154975</v>
      </c>
      <c r="V573" s="2" t="n">
        <f aca="false">B573*C573</f>
        <v>1.308801</v>
      </c>
    </row>
    <row r="574" customFormat="false" ht="15" hidden="false" customHeight="false" outlineLevel="0" collapsed="false">
      <c r="A574" s="2" t="n">
        <v>289.31</v>
      </c>
      <c r="B574" s="2" t="n">
        <v>11.791</v>
      </c>
      <c r="C574" s="2" t="n">
        <v>0.111</v>
      </c>
      <c r="D574" s="2" t="n">
        <v>0.011</v>
      </c>
      <c r="E574" s="2" t="n">
        <v>0</v>
      </c>
      <c r="F574" s="2" t="n">
        <v>76</v>
      </c>
      <c r="G574" s="2" t="n">
        <v>25</v>
      </c>
      <c r="H574" s="2" t="n">
        <v>284</v>
      </c>
      <c r="I574" s="2" t="n">
        <v>121</v>
      </c>
      <c r="J574" s="2"/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1</v>
      </c>
      <c r="Q574" s="2" t="n">
        <v>1</v>
      </c>
      <c r="R574" s="2" t="n">
        <v>0</v>
      </c>
      <c r="S574" s="2" t="n">
        <f aca="false">A575-A574</f>
        <v>0.199999999999989</v>
      </c>
      <c r="T574" s="2" t="n">
        <f aca="false">C574+Summary!$C$8*D574</f>
        <v>0.1118965</v>
      </c>
      <c r="U574" s="2" t="n">
        <f aca="false">B574*T574</f>
        <v>1.3193716315</v>
      </c>
      <c r="V574" s="2" t="n">
        <f aca="false">B574*C574</f>
        <v>1.308801</v>
      </c>
    </row>
    <row r="575" customFormat="false" ht="15" hidden="false" customHeight="false" outlineLevel="0" collapsed="false">
      <c r="A575" s="2" t="n">
        <v>289.51</v>
      </c>
      <c r="B575" s="2" t="n">
        <v>11.791</v>
      </c>
      <c r="C575" s="2" t="n">
        <v>0.11</v>
      </c>
      <c r="D575" s="2" t="n">
        <v>0.013</v>
      </c>
      <c r="E575" s="2" t="n">
        <v>0</v>
      </c>
      <c r="F575" s="2" t="n">
        <v>76</v>
      </c>
      <c r="G575" s="2" t="n">
        <v>25</v>
      </c>
      <c r="H575" s="2" t="n">
        <v>400</v>
      </c>
      <c r="I575" s="2" t="n">
        <v>127</v>
      </c>
      <c r="J575" s="2"/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1</v>
      </c>
      <c r="Q575" s="2" t="n">
        <v>1</v>
      </c>
      <c r="R575" s="2" t="n">
        <v>0</v>
      </c>
      <c r="S575" s="2" t="n">
        <f aca="false">A576-A575</f>
        <v>0.199999999999989</v>
      </c>
      <c r="T575" s="2" t="n">
        <f aca="false">C575+Summary!$C$8*D575</f>
        <v>0.1110595</v>
      </c>
      <c r="U575" s="2" t="n">
        <f aca="false">B575*T575</f>
        <v>1.3095025645</v>
      </c>
      <c r="V575" s="2" t="n">
        <f aca="false">B575*C575</f>
        <v>1.29701</v>
      </c>
    </row>
    <row r="576" customFormat="false" ht="15" hidden="false" customHeight="false" outlineLevel="0" collapsed="false">
      <c r="A576" s="2" t="n">
        <v>289.71</v>
      </c>
      <c r="B576" s="2" t="n">
        <v>11.791</v>
      </c>
      <c r="C576" s="2" t="n">
        <v>0.112</v>
      </c>
      <c r="D576" s="2" t="n">
        <v>0.011</v>
      </c>
      <c r="E576" s="2" t="n">
        <v>0</v>
      </c>
      <c r="F576" s="2" t="n">
        <v>76</v>
      </c>
      <c r="G576" s="2" t="n">
        <v>25</v>
      </c>
      <c r="H576" s="2" t="n">
        <v>314</v>
      </c>
      <c r="I576" s="2" t="n">
        <v>128</v>
      </c>
      <c r="J576" s="2"/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1</v>
      </c>
      <c r="Q576" s="2" t="n">
        <v>1</v>
      </c>
      <c r="R576" s="2" t="n">
        <v>0</v>
      </c>
      <c r="S576" s="2" t="n">
        <f aca="false">A577-A576</f>
        <v>0.200000000000045</v>
      </c>
      <c r="T576" s="2" t="n">
        <f aca="false">C576+Summary!$C$8*D576</f>
        <v>0.1128965</v>
      </c>
      <c r="U576" s="2" t="n">
        <f aca="false">B576*T576</f>
        <v>1.3311626315</v>
      </c>
      <c r="V576" s="2" t="n">
        <f aca="false">B576*C576</f>
        <v>1.320592</v>
      </c>
    </row>
    <row r="577" customFormat="false" ht="15" hidden="false" customHeight="false" outlineLevel="0" collapsed="false">
      <c r="A577" s="2" t="n">
        <v>289.91</v>
      </c>
      <c r="B577" s="2" t="n">
        <v>11.791</v>
      </c>
      <c r="C577" s="2" t="n">
        <v>0.111</v>
      </c>
      <c r="D577" s="2" t="n">
        <v>0.01</v>
      </c>
      <c r="E577" s="2" t="n">
        <v>0</v>
      </c>
      <c r="F577" s="2" t="n">
        <v>76</v>
      </c>
      <c r="G577" s="2" t="n">
        <v>25</v>
      </c>
      <c r="H577" s="2" t="n">
        <v>316</v>
      </c>
      <c r="I577" s="2" t="n">
        <v>128</v>
      </c>
      <c r="J577" s="2"/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1</v>
      </c>
      <c r="Q577" s="2" t="n">
        <v>1</v>
      </c>
      <c r="R577" s="2" t="n">
        <v>0</v>
      </c>
      <c r="S577" s="2" t="n">
        <f aca="false">A578-A577</f>
        <v>0.199999999999989</v>
      </c>
      <c r="T577" s="2" t="n">
        <f aca="false">C577+Summary!$C$8*D577</f>
        <v>0.111815</v>
      </c>
      <c r="U577" s="2" t="n">
        <f aca="false">B577*T577</f>
        <v>1.318410665</v>
      </c>
      <c r="V577" s="2" t="n">
        <f aca="false">B577*C577</f>
        <v>1.308801</v>
      </c>
    </row>
    <row r="578" customFormat="false" ht="15" hidden="false" customHeight="false" outlineLevel="0" collapsed="false">
      <c r="A578" s="2" t="n">
        <v>290.11</v>
      </c>
      <c r="B578" s="2" t="n">
        <v>11.791</v>
      </c>
      <c r="C578" s="2" t="n">
        <v>0.147</v>
      </c>
      <c r="D578" s="2" t="n">
        <v>0.01</v>
      </c>
      <c r="E578" s="2" t="n">
        <v>0</v>
      </c>
      <c r="F578" s="2" t="n">
        <v>76</v>
      </c>
      <c r="G578" s="2" t="n">
        <v>25</v>
      </c>
      <c r="H578" s="2" t="n">
        <v>400</v>
      </c>
      <c r="I578" s="2" t="n">
        <v>121</v>
      </c>
      <c r="J578" s="2"/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1</v>
      </c>
      <c r="Q578" s="2" t="n">
        <v>1</v>
      </c>
      <c r="R578" s="2" t="n">
        <v>0</v>
      </c>
      <c r="S578" s="2" t="n">
        <f aca="false">A579-A578</f>
        <v>0.199999999999989</v>
      </c>
      <c r="T578" s="2" t="n">
        <f aca="false">C578+Summary!$C$8*D578</f>
        <v>0.147815</v>
      </c>
      <c r="U578" s="2" t="n">
        <f aca="false">B578*T578</f>
        <v>1.742886665</v>
      </c>
      <c r="V578" s="2" t="n">
        <f aca="false">B578*C578</f>
        <v>1.733277</v>
      </c>
    </row>
    <row r="579" customFormat="false" ht="15" hidden="false" customHeight="false" outlineLevel="0" collapsed="false">
      <c r="A579" s="2" t="n">
        <v>290.31</v>
      </c>
      <c r="B579" s="2" t="n">
        <v>11.791</v>
      </c>
      <c r="C579" s="2" t="n">
        <v>0.11</v>
      </c>
      <c r="D579" s="2" t="n">
        <v>0.011</v>
      </c>
      <c r="E579" s="2" t="n">
        <v>0</v>
      </c>
      <c r="F579" s="2" t="n">
        <v>76</v>
      </c>
      <c r="G579" s="2" t="n">
        <v>25</v>
      </c>
      <c r="H579" s="2" t="n">
        <v>316</v>
      </c>
      <c r="I579" s="2" t="n">
        <v>122</v>
      </c>
      <c r="J579" s="2"/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1</v>
      </c>
      <c r="Q579" s="2" t="n">
        <v>1</v>
      </c>
      <c r="R579" s="2" t="n">
        <v>0</v>
      </c>
      <c r="S579" s="2" t="n">
        <f aca="false">A580-A579</f>
        <v>0.199999999999989</v>
      </c>
      <c r="T579" s="2" t="n">
        <f aca="false">C579+Summary!$C$8*D579</f>
        <v>0.1108965</v>
      </c>
      <c r="U579" s="2" t="n">
        <f aca="false">B579*T579</f>
        <v>1.3075806315</v>
      </c>
      <c r="V579" s="2" t="n">
        <f aca="false">B579*C579</f>
        <v>1.29701</v>
      </c>
    </row>
    <row r="580" customFormat="false" ht="15" hidden="false" customHeight="false" outlineLevel="0" collapsed="false">
      <c r="A580" s="2" t="n">
        <v>290.51</v>
      </c>
      <c r="B580" s="2" t="n">
        <v>11.791</v>
      </c>
      <c r="C580" s="2" t="n">
        <v>0.11</v>
      </c>
      <c r="D580" s="2" t="n">
        <v>0.011</v>
      </c>
      <c r="E580" s="2" t="n">
        <v>0</v>
      </c>
      <c r="F580" s="2" t="n">
        <v>76</v>
      </c>
      <c r="G580" s="2" t="n">
        <v>25</v>
      </c>
      <c r="H580" s="2" t="n">
        <v>285</v>
      </c>
      <c r="I580" s="2" t="n">
        <v>122</v>
      </c>
      <c r="J580" s="2"/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1</v>
      </c>
      <c r="Q580" s="2" t="n">
        <v>1</v>
      </c>
      <c r="R580" s="2" t="n">
        <v>0</v>
      </c>
      <c r="S580" s="2" t="n">
        <f aca="false">A581-A580</f>
        <v>0.199999999999989</v>
      </c>
      <c r="T580" s="2" t="n">
        <f aca="false">C580+Summary!$C$8*D580</f>
        <v>0.1108965</v>
      </c>
      <c r="U580" s="2" t="n">
        <f aca="false">B580*T580</f>
        <v>1.3075806315</v>
      </c>
      <c r="V580" s="2" t="n">
        <f aca="false">B580*C580</f>
        <v>1.29701</v>
      </c>
    </row>
    <row r="581" customFormat="false" ht="15" hidden="false" customHeight="false" outlineLevel="0" collapsed="false">
      <c r="A581" s="2" t="n">
        <v>290.71</v>
      </c>
      <c r="B581" s="2" t="n">
        <v>11.791</v>
      </c>
      <c r="C581" s="2" t="n">
        <v>0.11</v>
      </c>
      <c r="D581" s="2" t="n">
        <v>0.009</v>
      </c>
      <c r="E581" s="2" t="n">
        <v>0</v>
      </c>
      <c r="F581" s="2" t="n">
        <v>76</v>
      </c>
      <c r="G581" s="2" t="n">
        <v>25</v>
      </c>
      <c r="H581" s="2" t="n">
        <v>400</v>
      </c>
      <c r="I581" s="2" t="n">
        <v>128</v>
      </c>
      <c r="J581" s="2"/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1</v>
      </c>
      <c r="Q581" s="2" t="n">
        <v>1</v>
      </c>
      <c r="R581" s="2" t="n">
        <v>0</v>
      </c>
      <c r="S581" s="2" t="n">
        <f aca="false">A582-A581</f>
        <v>0.200000000000045</v>
      </c>
      <c r="T581" s="2" t="n">
        <f aca="false">C581+Summary!$C$8*D581</f>
        <v>0.1107335</v>
      </c>
      <c r="U581" s="2" t="n">
        <f aca="false">B581*T581</f>
        <v>1.3056586985</v>
      </c>
      <c r="V581" s="2" t="n">
        <f aca="false">B581*C581</f>
        <v>1.29701</v>
      </c>
    </row>
    <row r="582" customFormat="false" ht="15" hidden="false" customHeight="false" outlineLevel="0" collapsed="false">
      <c r="A582" s="2" t="n">
        <v>290.91</v>
      </c>
      <c r="B582" s="2" t="n">
        <v>11.786</v>
      </c>
      <c r="C582" s="2" t="n">
        <v>0.111</v>
      </c>
      <c r="D582" s="2" t="n">
        <v>0.01</v>
      </c>
      <c r="E582" s="2" t="n">
        <v>0</v>
      </c>
      <c r="F582" s="2" t="n">
        <v>76</v>
      </c>
      <c r="G582" s="2" t="n">
        <v>25</v>
      </c>
      <c r="H582" s="2" t="n">
        <v>284</v>
      </c>
      <c r="I582" s="2" t="n">
        <v>123</v>
      </c>
      <c r="J582" s="2"/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</v>
      </c>
      <c r="Q582" s="2" t="n">
        <v>1</v>
      </c>
      <c r="R582" s="2" t="n">
        <v>0</v>
      </c>
      <c r="S582" s="2" t="n">
        <f aca="false">A583-A582</f>
        <v>0.199999999999989</v>
      </c>
      <c r="T582" s="2" t="n">
        <f aca="false">C582+Summary!$C$8*D582</f>
        <v>0.111815</v>
      </c>
      <c r="U582" s="2" t="n">
        <f aca="false">B582*T582</f>
        <v>1.31785159</v>
      </c>
      <c r="V582" s="2" t="n">
        <f aca="false">B582*C582</f>
        <v>1.308246</v>
      </c>
    </row>
    <row r="583" customFormat="false" ht="15" hidden="false" customHeight="false" outlineLevel="0" collapsed="false">
      <c r="A583" s="2" t="n">
        <v>291.11</v>
      </c>
      <c r="B583" s="2" t="n">
        <v>11.79</v>
      </c>
      <c r="C583" s="2" t="n">
        <v>0.111</v>
      </c>
      <c r="D583" s="2" t="n">
        <v>0.011</v>
      </c>
      <c r="E583" s="2" t="n">
        <v>0</v>
      </c>
      <c r="F583" s="2" t="n">
        <v>76</v>
      </c>
      <c r="G583" s="2" t="n">
        <v>25</v>
      </c>
      <c r="H583" s="2" t="n">
        <v>400</v>
      </c>
      <c r="I583" s="2" t="n">
        <v>121</v>
      </c>
      <c r="J583" s="2"/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1</v>
      </c>
      <c r="Q583" s="2" t="n">
        <v>1</v>
      </c>
      <c r="R583" s="2" t="n">
        <v>0</v>
      </c>
      <c r="S583" s="2" t="n">
        <f aca="false">A584-A583</f>
        <v>0.199999999999989</v>
      </c>
      <c r="T583" s="2" t="n">
        <f aca="false">C583+Summary!$C$8*D583</f>
        <v>0.1118965</v>
      </c>
      <c r="U583" s="2" t="n">
        <f aca="false">B583*T583</f>
        <v>1.319259735</v>
      </c>
      <c r="V583" s="2" t="n">
        <f aca="false">B583*C583</f>
        <v>1.30869</v>
      </c>
    </row>
    <row r="584" customFormat="false" ht="15" hidden="false" customHeight="false" outlineLevel="0" collapsed="false">
      <c r="A584" s="2" t="n">
        <v>291.31</v>
      </c>
      <c r="B584" s="2" t="n">
        <v>11.795</v>
      </c>
      <c r="C584" s="2" t="n">
        <v>0.111</v>
      </c>
      <c r="D584" s="2" t="n">
        <v>0.011</v>
      </c>
      <c r="E584" s="2" t="n">
        <v>0</v>
      </c>
      <c r="F584" s="2" t="n">
        <v>76</v>
      </c>
      <c r="G584" s="2" t="n">
        <v>25</v>
      </c>
      <c r="H584" s="2" t="n">
        <v>284</v>
      </c>
      <c r="I584" s="2" t="n">
        <v>121</v>
      </c>
      <c r="J584" s="2"/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1</v>
      </c>
      <c r="Q584" s="2" t="n">
        <v>1</v>
      </c>
      <c r="R584" s="2" t="n">
        <v>0</v>
      </c>
      <c r="S584" s="2" t="n">
        <f aca="false">A585-A584</f>
        <v>0.199999999999989</v>
      </c>
      <c r="T584" s="2" t="n">
        <f aca="false">C584+Summary!$C$8*D584</f>
        <v>0.1118965</v>
      </c>
      <c r="U584" s="2" t="n">
        <f aca="false">B584*T584</f>
        <v>1.3198192175</v>
      </c>
      <c r="V584" s="2" t="n">
        <f aca="false">B584*C584</f>
        <v>1.309245</v>
      </c>
    </row>
    <row r="585" customFormat="false" ht="15" hidden="false" customHeight="false" outlineLevel="0" collapsed="false">
      <c r="A585" s="2" t="n">
        <v>291.51</v>
      </c>
      <c r="B585" s="2" t="n">
        <v>11.791</v>
      </c>
      <c r="C585" s="2" t="n">
        <v>0.111</v>
      </c>
      <c r="D585" s="2" t="n">
        <v>0.01</v>
      </c>
      <c r="E585" s="2" t="n">
        <v>0</v>
      </c>
      <c r="F585" s="2" t="n">
        <v>76</v>
      </c>
      <c r="G585" s="2" t="n">
        <v>25</v>
      </c>
      <c r="H585" s="2" t="n">
        <v>284</v>
      </c>
      <c r="I585" s="2" t="n">
        <v>80</v>
      </c>
      <c r="J585" s="2"/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1</v>
      </c>
      <c r="Q585" s="2" t="n">
        <v>1</v>
      </c>
      <c r="R585" s="2" t="n">
        <v>0</v>
      </c>
      <c r="S585" s="2" t="n">
        <f aca="false">A586-A585</f>
        <v>0.199999999999989</v>
      </c>
      <c r="T585" s="2" t="n">
        <f aca="false">C585+Summary!$C$8*D585</f>
        <v>0.111815</v>
      </c>
      <c r="U585" s="2" t="n">
        <f aca="false">B585*T585</f>
        <v>1.318410665</v>
      </c>
      <c r="V585" s="2" t="n">
        <f aca="false">B585*C585</f>
        <v>1.308801</v>
      </c>
    </row>
    <row r="586" customFormat="false" ht="15" hidden="false" customHeight="false" outlineLevel="0" collapsed="false">
      <c r="A586" s="2" t="n">
        <v>291.71</v>
      </c>
      <c r="B586" s="2" t="n">
        <v>11.791</v>
      </c>
      <c r="C586" s="2" t="n">
        <v>0.111</v>
      </c>
      <c r="D586" s="2" t="n">
        <v>0.01</v>
      </c>
      <c r="E586" s="2" t="n">
        <v>0</v>
      </c>
      <c r="F586" s="2" t="n">
        <v>76</v>
      </c>
      <c r="G586" s="2" t="n">
        <v>25</v>
      </c>
      <c r="H586" s="2" t="n">
        <v>283</v>
      </c>
      <c r="I586" s="2" t="n">
        <v>80</v>
      </c>
      <c r="J586" s="2"/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1</v>
      </c>
      <c r="Q586" s="2" t="n">
        <v>1</v>
      </c>
      <c r="R586" s="2" t="n">
        <v>0</v>
      </c>
      <c r="S586" s="2" t="n">
        <f aca="false">A587-A586</f>
        <v>0.200000000000045</v>
      </c>
      <c r="T586" s="2" t="n">
        <f aca="false">C586+Summary!$C$8*D586</f>
        <v>0.111815</v>
      </c>
      <c r="U586" s="2" t="n">
        <f aca="false">B586*T586</f>
        <v>1.318410665</v>
      </c>
      <c r="V586" s="2" t="n">
        <f aca="false">B586*C586</f>
        <v>1.308801</v>
      </c>
    </row>
    <row r="587" customFormat="false" ht="15" hidden="false" customHeight="false" outlineLevel="0" collapsed="false">
      <c r="A587" s="2" t="n">
        <v>291.91</v>
      </c>
      <c r="B587" s="2" t="n">
        <v>11.791</v>
      </c>
      <c r="C587" s="2" t="n">
        <v>0.11</v>
      </c>
      <c r="D587" s="2" t="n">
        <v>0.011</v>
      </c>
      <c r="E587" s="2" t="n">
        <v>0</v>
      </c>
      <c r="F587" s="2" t="n">
        <v>76</v>
      </c>
      <c r="G587" s="2" t="n">
        <v>25</v>
      </c>
      <c r="H587" s="2" t="n">
        <v>283</v>
      </c>
      <c r="I587" s="2" t="n">
        <v>122</v>
      </c>
      <c r="J587" s="2"/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1</v>
      </c>
      <c r="Q587" s="2" t="n">
        <v>1</v>
      </c>
      <c r="R587" s="2" t="n">
        <v>0</v>
      </c>
      <c r="S587" s="2" t="n">
        <f aca="false">A588-A587</f>
        <v>0.199999999999989</v>
      </c>
      <c r="T587" s="2" t="n">
        <f aca="false">C587+Summary!$C$8*D587</f>
        <v>0.1108965</v>
      </c>
      <c r="U587" s="2" t="n">
        <f aca="false">B587*T587</f>
        <v>1.3075806315</v>
      </c>
      <c r="V587" s="2" t="n">
        <f aca="false">B587*C587</f>
        <v>1.29701</v>
      </c>
    </row>
    <row r="588" customFormat="false" ht="15" hidden="false" customHeight="false" outlineLevel="0" collapsed="false">
      <c r="A588" s="2" t="n">
        <v>292.11</v>
      </c>
      <c r="B588" s="2" t="n">
        <v>11.787</v>
      </c>
      <c r="C588" s="2" t="n">
        <v>0.11</v>
      </c>
      <c r="D588" s="2" t="n">
        <v>0.01</v>
      </c>
      <c r="E588" s="2" t="n">
        <v>0</v>
      </c>
      <c r="F588" s="2" t="n">
        <v>76</v>
      </c>
      <c r="G588" s="2" t="n">
        <v>25</v>
      </c>
      <c r="H588" s="2" t="n">
        <v>283</v>
      </c>
      <c r="I588" s="2" t="n">
        <v>120</v>
      </c>
      <c r="J588" s="2"/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1</v>
      </c>
      <c r="Q588" s="2" t="n">
        <v>1</v>
      </c>
      <c r="R588" s="2" t="n">
        <v>0</v>
      </c>
      <c r="S588" s="2" t="n">
        <f aca="false">A589-A588</f>
        <v>0.199999999999989</v>
      </c>
      <c r="T588" s="2" t="n">
        <f aca="false">C588+Summary!$C$8*D588</f>
        <v>0.110815</v>
      </c>
      <c r="U588" s="2" t="n">
        <f aca="false">B588*T588</f>
        <v>1.306176405</v>
      </c>
      <c r="V588" s="2" t="n">
        <f aca="false">B588*C588</f>
        <v>1.29657</v>
      </c>
    </row>
    <row r="589" customFormat="false" ht="15" hidden="false" customHeight="false" outlineLevel="0" collapsed="false">
      <c r="A589" s="2" t="n">
        <v>292.31</v>
      </c>
      <c r="B589" s="2" t="n">
        <v>11.791</v>
      </c>
      <c r="C589" s="2" t="n">
        <v>0.11</v>
      </c>
      <c r="D589" s="2" t="n">
        <v>0.011</v>
      </c>
      <c r="E589" s="2" t="n">
        <v>0</v>
      </c>
      <c r="F589" s="2" t="n">
        <v>76</v>
      </c>
      <c r="G589" s="2" t="n">
        <v>25</v>
      </c>
      <c r="H589" s="2" t="n">
        <v>400</v>
      </c>
      <c r="I589" s="2" t="n">
        <v>131</v>
      </c>
      <c r="J589" s="2"/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1</v>
      </c>
      <c r="Q589" s="2" t="n">
        <v>1</v>
      </c>
      <c r="R589" s="2" t="n">
        <v>0</v>
      </c>
      <c r="S589" s="2" t="n">
        <f aca="false">A590-A589</f>
        <v>0.199999999999989</v>
      </c>
      <c r="T589" s="2" t="n">
        <f aca="false">C589+Summary!$C$8*D589</f>
        <v>0.1108965</v>
      </c>
      <c r="U589" s="2" t="n">
        <f aca="false">B589*T589</f>
        <v>1.3075806315</v>
      </c>
      <c r="V589" s="2" t="n">
        <f aca="false">B589*C589</f>
        <v>1.29701</v>
      </c>
    </row>
    <row r="590" customFormat="false" ht="15" hidden="false" customHeight="false" outlineLevel="0" collapsed="false">
      <c r="A590" s="2" t="n">
        <v>292.51</v>
      </c>
      <c r="B590" s="2" t="n">
        <v>11.791</v>
      </c>
      <c r="C590" s="2" t="n">
        <v>0.111</v>
      </c>
      <c r="D590" s="2" t="n">
        <v>0.011</v>
      </c>
      <c r="E590" s="2" t="n">
        <v>0</v>
      </c>
      <c r="F590" s="2" t="n">
        <v>76</v>
      </c>
      <c r="G590" s="2" t="n">
        <v>25</v>
      </c>
      <c r="H590" s="2" t="n">
        <v>400</v>
      </c>
      <c r="I590" s="2" t="n">
        <v>121</v>
      </c>
      <c r="J590" s="2"/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1</v>
      </c>
      <c r="Q590" s="2" t="n">
        <v>1</v>
      </c>
      <c r="R590" s="2" t="n">
        <v>0</v>
      </c>
      <c r="S590" s="2" t="n">
        <f aca="false">A591-A590</f>
        <v>0.199999999999989</v>
      </c>
      <c r="T590" s="2" t="n">
        <f aca="false">C590+Summary!$C$8*D590</f>
        <v>0.1118965</v>
      </c>
      <c r="U590" s="2" t="n">
        <f aca="false">B590*T590</f>
        <v>1.3193716315</v>
      </c>
      <c r="V590" s="2" t="n">
        <f aca="false">B590*C590</f>
        <v>1.308801</v>
      </c>
    </row>
    <row r="591" customFormat="false" ht="15" hidden="false" customHeight="false" outlineLevel="0" collapsed="false">
      <c r="A591" s="2" t="n">
        <v>292.71</v>
      </c>
      <c r="B591" s="2" t="n">
        <v>11.787</v>
      </c>
      <c r="C591" s="2" t="n">
        <v>0.111</v>
      </c>
      <c r="D591" s="2" t="n">
        <v>0.008</v>
      </c>
      <c r="E591" s="2" t="n">
        <v>0</v>
      </c>
      <c r="F591" s="2" t="n">
        <v>76</v>
      </c>
      <c r="G591" s="2" t="n">
        <v>25</v>
      </c>
      <c r="H591" s="2" t="n">
        <v>400</v>
      </c>
      <c r="I591" s="2" t="n">
        <v>123</v>
      </c>
      <c r="J591" s="2"/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1</v>
      </c>
      <c r="Q591" s="2" t="n">
        <v>1</v>
      </c>
      <c r="R591" s="2" t="n">
        <v>0</v>
      </c>
      <c r="S591" s="2" t="n">
        <f aca="false">A592-A591</f>
        <v>0.200000000000045</v>
      </c>
      <c r="T591" s="2" t="n">
        <f aca="false">C591+Summary!$C$8*D591</f>
        <v>0.111652</v>
      </c>
      <c r="U591" s="2" t="n">
        <f aca="false">B591*T591</f>
        <v>1.316042124</v>
      </c>
      <c r="V591" s="2" t="n">
        <f aca="false">B591*C591</f>
        <v>1.308357</v>
      </c>
    </row>
    <row r="592" customFormat="false" ht="15" hidden="false" customHeight="false" outlineLevel="0" collapsed="false">
      <c r="A592" s="2" t="n">
        <v>292.91</v>
      </c>
      <c r="B592" s="2" t="n">
        <v>11.787</v>
      </c>
      <c r="C592" s="2" t="n">
        <v>0.111</v>
      </c>
      <c r="D592" s="2" t="n">
        <v>0.008</v>
      </c>
      <c r="E592" s="2" t="n">
        <v>0</v>
      </c>
      <c r="F592" s="2" t="n">
        <v>76</v>
      </c>
      <c r="G592" s="2" t="n">
        <v>25</v>
      </c>
      <c r="H592" s="2" t="n">
        <v>400</v>
      </c>
      <c r="I592" s="2" t="n">
        <v>121</v>
      </c>
      <c r="J592" s="2"/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1</v>
      </c>
      <c r="Q592" s="2" t="n">
        <v>1</v>
      </c>
      <c r="R592" s="2" t="n">
        <v>0</v>
      </c>
      <c r="S592" s="2" t="n">
        <f aca="false">A593-A592</f>
        <v>0.199999999999989</v>
      </c>
      <c r="T592" s="2" t="n">
        <f aca="false">C592+Summary!$C$8*D592</f>
        <v>0.111652</v>
      </c>
      <c r="U592" s="2" t="n">
        <f aca="false">B592*T592</f>
        <v>1.316042124</v>
      </c>
      <c r="V592" s="2" t="n">
        <f aca="false">B592*C592</f>
        <v>1.308357</v>
      </c>
    </row>
    <row r="593" customFormat="false" ht="15" hidden="false" customHeight="false" outlineLevel="0" collapsed="false">
      <c r="A593" s="2" t="n">
        <v>293.11</v>
      </c>
      <c r="B593" s="2" t="n">
        <v>11.791</v>
      </c>
      <c r="C593" s="2" t="n">
        <v>0.111</v>
      </c>
      <c r="D593" s="2" t="n">
        <v>0.011</v>
      </c>
      <c r="E593" s="2" t="n">
        <v>0</v>
      </c>
      <c r="F593" s="2" t="n">
        <v>76</v>
      </c>
      <c r="G593" s="2" t="n">
        <v>25</v>
      </c>
      <c r="H593" s="2" t="n">
        <v>400</v>
      </c>
      <c r="I593" s="2" t="n">
        <v>80</v>
      </c>
      <c r="J593" s="2"/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1</v>
      </c>
      <c r="Q593" s="2" t="n">
        <v>1</v>
      </c>
      <c r="R593" s="2" t="n">
        <v>0</v>
      </c>
      <c r="S593" s="2" t="n">
        <f aca="false">A594-A593</f>
        <v>0.199999999999989</v>
      </c>
      <c r="T593" s="2" t="n">
        <f aca="false">C593+Summary!$C$8*D593</f>
        <v>0.1118965</v>
      </c>
      <c r="U593" s="2" t="n">
        <f aca="false">B593*T593</f>
        <v>1.3193716315</v>
      </c>
      <c r="V593" s="2" t="n">
        <f aca="false">B593*C593</f>
        <v>1.308801</v>
      </c>
    </row>
    <row r="594" customFormat="false" ht="15" hidden="false" customHeight="false" outlineLevel="0" collapsed="false">
      <c r="A594" s="2" t="n">
        <v>293.31</v>
      </c>
      <c r="B594" s="2" t="n">
        <v>11.791</v>
      </c>
      <c r="C594" s="2" t="n">
        <v>0.111</v>
      </c>
      <c r="D594" s="2" t="n">
        <v>0.011</v>
      </c>
      <c r="E594" s="2" t="n">
        <v>0</v>
      </c>
      <c r="F594" s="2" t="n">
        <v>76</v>
      </c>
      <c r="G594" s="2" t="n">
        <v>25</v>
      </c>
      <c r="H594" s="2" t="n">
        <v>400</v>
      </c>
      <c r="I594" s="2" t="n">
        <v>121</v>
      </c>
      <c r="J594" s="2"/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1</v>
      </c>
      <c r="Q594" s="2" t="n">
        <v>1</v>
      </c>
      <c r="R594" s="2" t="n">
        <v>0</v>
      </c>
      <c r="S594" s="2" t="n">
        <f aca="false">A595-A594</f>
        <v>0.199999999999989</v>
      </c>
      <c r="T594" s="2" t="n">
        <f aca="false">C594+Summary!$C$8*D594</f>
        <v>0.1118965</v>
      </c>
      <c r="U594" s="2" t="n">
        <f aca="false">B594*T594</f>
        <v>1.3193716315</v>
      </c>
      <c r="V594" s="2" t="n">
        <f aca="false">B594*C594</f>
        <v>1.308801</v>
      </c>
    </row>
    <row r="595" customFormat="false" ht="15" hidden="false" customHeight="false" outlineLevel="0" collapsed="false">
      <c r="A595" s="2" t="n">
        <v>293.51</v>
      </c>
      <c r="B595" s="2" t="n">
        <v>11.787</v>
      </c>
      <c r="C595" s="2" t="n">
        <v>0.112</v>
      </c>
      <c r="D595" s="2" t="n">
        <v>0.009</v>
      </c>
      <c r="E595" s="2" t="n">
        <v>0</v>
      </c>
      <c r="F595" s="2" t="n">
        <v>76</v>
      </c>
      <c r="G595" s="2" t="n">
        <v>25</v>
      </c>
      <c r="H595" s="2" t="n">
        <v>400</v>
      </c>
      <c r="I595" s="2" t="n">
        <v>121</v>
      </c>
      <c r="J595" s="2"/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1</v>
      </c>
      <c r="Q595" s="2" t="n">
        <v>1</v>
      </c>
      <c r="R595" s="2" t="n">
        <v>0</v>
      </c>
      <c r="S595" s="2" t="n">
        <f aca="false">A596-A595</f>
        <v>0.199999999999989</v>
      </c>
      <c r="T595" s="2" t="n">
        <f aca="false">C595+Summary!$C$8*D595</f>
        <v>0.1127335</v>
      </c>
      <c r="U595" s="2" t="n">
        <f aca="false">B595*T595</f>
        <v>1.3287897645</v>
      </c>
      <c r="V595" s="2" t="n">
        <f aca="false">B595*C595</f>
        <v>1.320144</v>
      </c>
    </row>
    <row r="596" customFormat="false" ht="15" hidden="false" customHeight="false" outlineLevel="0" collapsed="false">
      <c r="A596" s="2" t="n">
        <v>293.71</v>
      </c>
      <c r="B596" s="2" t="n">
        <v>11.787</v>
      </c>
      <c r="C596" s="2" t="n">
        <v>0.111</v>
      </c>
      <c r="D596" s="2" t="n">
        <v>0.011</v>
      </c>
      <c r="E596" s="2" t="n">
        <v>0</v>
      </c>
      <c r="F596" s="2" t="n">
        <v>76</v>
      </c>
      <c r="G596" s="2" t="n">
        <v>26</v>
      </c>
      <c r="H596" s="2" t="n">
        <v>316</v>
      </c>
      <c r="I596" s="2" t="n">
        <v>121</v>
      </c>
      <c r="J596" s="2"/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1</v>
      </c>
      <c r="Q596" s="2" t="n">
        <v>1</v>
      </c>
      <c r="R596" s="2" t="n">
        <v>0</v>
      </c>
      <c r="S596" s="2" t="n">
        <f aca="false">A597-A596</f>
        <v>0.200000000000045</v>
      </c>
      <c r="T596" s="2" t="n">
        <f aca="false">C596+Summary!$C$8*D596</f>
        <v>0.1118965</v>
      </c>
      <c r="U596" s="2" t="n">
        <f aca="false">B596*T596</f>
        <v>1.3189240455</v>
      </c>
      <c r="V596" s="2" t="n">
        <f aca="false">B596*C596</f>
        <v>1.308357</v>
      </c>
    </row>
    <row r="597" customFormat="false" ht="15" hidden="false" customHeight="false" outlineLevel="0" collapsed="false">
      <c r="A597" s="2" t="n">
        <v>293.91</v>
      </c>
      <c r="B597" s="2" t="n">
        <v>11.787</v>
      </c>
      <c r="C597" s="2" t="n">
        <v>0.111</v>
      </c>
      <c r="D597" s="2" t="n">
        <v>0.01</v>
      </c>
      <c r="E597" s="2" t="n">
        <v>0</v>
      </c>
      <c r="F597" s="2" t="n">
        <v>76</v>
      </c>
      <c r="G597" s="2" t="n">
        <v>25</v>
      </c>
      <c r="H597" s="2" t="n">
        <v>314</v>
      </c>
      <c r="I597" s="2" t="n">
        <v>122</v>
      </c>
      <c r="J597" s="2"/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</v>
      </c>
      <c r="Q597" s="2" t="n">
        <v>1</v>
      </c>
      <c r="R597" s="2" t="n">
        <v>0</v>
      </c>
      <c r="S597" s="2" t="n">
        <f aca="false">A598-A597</f>
        <v>0.199999999999989</v>
      </c>
      <c r="T597" s="2" t="n">
        <f aca="false">C597+Summary!$C$8*D597</f>
        <v>0.111815</v>
      </c>
      <c r="U597" s="2" t="n">
        <f aca="false">B597*T597</f>
        <v>1.317963405</v>
      </c>
      <c r="V597" s="2" t="n">
        <f aca="false">B597*C597</f>
        <v>1.308357</v>
      </c>
    </row>
    <row r="598" customFormat="false" ht="15" hidden="false" customHeight="false" outlineLevel="0" collapsed="false">
      <c r="A598" s="2" t="n">
        <v>294.11</v>
      </c>
      <c r="B598" s="2" t="n">
        <v>11.787</v>
      </c>
      <c r="C598" s="2" t="n">
        <v>0.111</v>
      </c>
      <c r="D598" s="2" t="n">
        <v>0.011</v>
      </c>
      <c r="E598" s="2" t="n">
        <v>0</v>
      </c>
      <c r="F598" s="2" t="n">
        <v>76</v>
      </c>
      <c r="G598" s="2" t="n">
        <v>26</v>
      </c>
      <c r="H598" s="2" t="n">
        <v>400</v>
      </c>
      <c r="I598" s="2" t="n">
        <v>121</v>
      </c>
      <c r="J598" s="2"/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</v>
      </c>
      <c r="Q598" s="2" t="n">
        <v>1</v>
      </c>
      <c r="R598" s="2" t="n">
        <v>0</v>
      </c>
      <c r="S598" s="2" t="n">
        <f aca="false">A599-A598</f>
        <v>0.199999999999989</v>
      </c>
      <c r="T598" s="2" t="n">
        <f aca="false">C598+Summary!$C$8*D598</f>
        <v>0.1118965</v>
      </c>
      <c r="U598" s="2" t="n">
        <f aca="false">B598*T598</f>
        <v>1.3189240455</v>
      </c>
      <c r="V598" s="2" t="n">
        <f aca="false">B598*C598</f>
        <v>1.308357</v>
      </c>
    </row>
    <row r="599" customFormat="false" ht="15" hidden="false" customHeight="false" outlineLevel="0" collapsed="false">
      <c r="A599" s="2" t="n">
        <v>294.31</v>
      </c>
      <c r="B599" s="2" t="n">
        <v>11.779</v>
      </c>
      <c r="C599" s="2" t="n">
        <v>0.111</v>
      </c>
      <c r="D599" s="2" t="n">
        <v>0.009</v>
      </c>
      <c r="E599" s="2" t="n">
        <v>0</v>
      </c>
      <c r="F599" s="2" t="n">
        <v>76</v>
      </c>
      <c r="G599" s="2" t="n">
        <v>25</v>
      </c>
      <c r="H599" s="2" t="n">
        <v>314</v>
      </c>
      <c r="I599" s="2" t="n">
        <v>122</v>
      </c>
      <c r="J599" s="2"/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1</v>
      </c>
      <c r="Q599" s="2" t="n">
        <v>1</v>
      </c>
      <c r="R599" s="2" t="n">
        <v>0</v>
      </c>
      <c r="S599" s="2" t="n">
        <f aca="false">A600-A599</f>
        <v>0.199999999999989</v>
      </c>
      <c r="T599" s="2" t="n">
        <f aca="false">C599+Summary!$C$8*D599</f>
        <v>0.1117335</v>
      </c>
      <c r="U599" s="2" t="n">
        <f aca="false">B599*T599</f>
        <v>1.3161088965</v>
      </c>
      <c r="V599" s="2" t="n">
        <f aca="false">B599*C599</f>
        <v>1.307469</v>
      </c>
    </row>
    <row r="600" customFormat="false" ht="15" hidden="false" customHeight="false" outlineLevel="0" collapsed="false">
      <c r="A600" s="2" t="n">
        <v>294.51</v>
      </c>
      <c r="B600" s="2" t="n">
        <v>11.787</v>
      </c>
      <c r="C600" s="2" t="n">
        <v>0.111</v>
      </c>
      <c r="D600" s="2" t="n">
        <v>0.01</v>
      </c>
      <c r="E600" s="2" t="n">
        <v>0</v>
      </c>
      <c r="F600" s="2" t="n">
        <v>76</v>
      </c>
      <c r="G600" s="2" t="n">
        <v>25</v>
      </c>
      <c r="H600" s="2" t="n">
        <v>314</v>
      </c>
      <c r="I600" s="2" t="n">
        <v>122</v>
      </c>
      <c r="J600" s="2"/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1</v>
      </c>
      <c r="Q600" s="2" t="n">
        <v>1</v>
      </c>
      <c r="R600" s="2" t="n">
        <v>0</v>
      </c>
      <c r="S600" s="2" t="n">
        <f aca="false">A601-A600</f>
        <v>0.199999999999989</v>
      </c>
      <c r="T600" s="2" t="n">
        <f aca="false">C600+Summary!$C$8*D600</f>
        <v>0.111815</v>
      </c>
      <c r="U600" s="2" t="n">
        <f aca="false">B600*T600</f>
        <v>1.317963405</v>
      </c>
      <c r="V600" s="2" t="n">
        <f aca="false">B600*C600</f>
        <v>1.308357</v>
      </c>
    </row>
    <row r="601" customFormat="false" ht="15" hidden="false" customHeight="false" outlineLevel="0" collapsed="false">
      <c r="A601" s="2" t="n">
        <v>294.71</v>
      </c>
      <c r="B601" s="2" t="n">
        <v>11.791</v>
      </c>
      <c r="C601" s="2" t="n">
        <v>0.111</v>
      </c>
      <c r="D601" s="2" t="n">
        <v>0.01</v>
      </c>
      <c r="E601" s="2" t="n">
        <v>0</v>
      </c>
      <c r="F601" s="2" t="n">
        <v>76</v>
      </c>
      <c r="G601" s="2" t="n">
        <v>25</v>
      </c>
      <c r="H601" s="2" t="n">
        <v>400</v>
      </c>
      <c r="I601" s="2" t="n">
        <v>121</v>
      </c>
      <c r="J601" s="2"/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1</v>
      </c>
      <c r="Q601" s="2" t="n">
        <v>1</v>
      </c>
      <c r="R601" s="2" t="n">
        <v>0</v>
      </c>
      <c r="S601" s="2" t="n">
        <f aca="false">A602-A601</f>
        <v>0.200000000000045</v>
      </c>
      <c r="T601" s="2" t="n">
        <f aca="false">C601+Summary!$C$8*D601</f>
        <v>0.111815</v>
      </c>
      <c r="U601" s="2" t="n">
        <f aca="false">B601*T601</f>
        <v>1.318410665</v>
      </c>
      <c r="V601" s="2" t="n">
        <f aca="false">B601*C601</f>
        <v>1.308801</v>
      </c>
    </row>
    <row r="602" customFormat="false" ht="15" hidden="false" customHeight="false" outlineLevel="0" collapsed="false">
      <c r="A602" s="2" t="n">
        <v>294.91</v>
      </c>
      <c r="B602" s="2" t="n">
        <v>11.787</v>
      </c>
      <c r="C602" s="2" t="n">
        <v>0.111</v>
      </c>
      <c r="D602" s="2" t="n">
        <v>0.009</v>
      </c>
      <c r="E602" s="2" t="n">
        <v>0</v>
      </c>
      <c r="F602" s="2" t="n">
        <v>76</v>
      </c>
      <c r="G602" s="2" t="n">
        <v>25</v>
      </c>
      <c r="H602" s="2" t="n">
        <v>400</v>
      </c>
      <c r="I602" s="2" t="n">
        <v>122</v>
      </c>
      <c r="J602" s="2"/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1</v>
      </c>
      <c r="Q602" s="2" t="n">
        <v>1</v>
      </c>
      <c r="R602" s="2" t="n">
        <v>0</v>
      </c>
      <c r="S602" s="2" t="n">
        <f aca="false">A603-A602</f>
        <v>0.199999999999989</v>
      </c>
      <c r="T602" s="2" t="n">
        <f aca="false">C602+Summary!$C$8*D602</f>
        <v>0.1117335</v>
      </c>
      <c r="U602" s="2" t="n">
        <f aca="false">B602*T602</f>
        <v>1.3170027645</v>
      </c>
      <c r="V602" s="2" t="n">
        <f aca="false">B602*C602</f>
        <v>1.308357</v>
      </c>
    </row>
    <row r="603" customFormat="false" ht="15" hidden="false" customHeight="false" outlineLevel="0" collapsed="false">
      <c r="A603" s="2" t="n">
        <v>295.11</v>
      </c>
      <c r="B603" s="2" t="n">
        <v>11.787</v>
      </c>
      <c r="C603" s="2" t="n">
        <v>0.111</v>
      </c>
      <c r="D603" s="2" t="n">
        <v>0.009</v>
      </c>
      <c r="E603" s="2" t="n">
        <v>0</v>
      </c>
      <c r="F603" s="2" t="n">
        <v>76</v>
      </c>
      <c r="G603" s="2" t="n">
        <v>25</v>
      </c>
      <c r="H603" s="2" t="n">
        <v>400</v>
      </c>
      <c r="I603" s="2" t="n">
        <v>120</v>
      </c>
      <c r="J603" s="2"/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1</v>
      </c>
      <c r="Q603" s="2" t="n">
        <v>1</v>
      </c>
      <c r="R603" s="2" t="n">
        <v>0</v>
      </c>
      <c r="S603" s="2" t="n">
        <f aca="false">A604-A603</f>
        <v>0.199999999999989</v>
      </c>
      <c r="T603" s="2" t="n">
        <f aca="false">C603+Summary!$C$8*D603</f>
        <v>0.1117335</v>
      </c>
      <c r="U603" s="2" t="n">
        <f aca="false">B603*T603</f>
        <v>1.3170027645</v>
      </c>
      <c r="V603" s="2" t="n">
        <f aca="false">B603*C603</f>
        <v>1.308357</v>
      </c>
    </row>
    <row r="604" customFormat="false" ht="15" hidden="false" customHeight="false" outlineLevel="0" collapsed="false">
      <c r="A604" s="2" t="n">
        <v>295.31</v>
      </c>
      <c r="B604" s="2" t="n">
        <v>11.787</v>
      </c>
      <c r="C604" s="2" t="n">
        <v>0.111</v>
      </c>
      <c r="D604" s="2" t="n">
        <v>0.01</v>
      </c>
      <c r="E604" s="2" t="n">
        <v>0</v>
      </c>
      <c r="F604" s="2" t="n">
        <v>76</v>
      </c>
      <c r="G604" s="2" t="n">
        <v>25</v>
      </c>
      <c r="H604" s="2" t="n">
        <v>400</v>
      </c>
      <c r="I604" s="2" t="n">
        <v>121</v>
      </c>
      <c r="J604" s="2"/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1</v>
      </c>
      <c r="Q604" s="2" t="n">
        <v>1</v>
      </c>
      <c r="R604" s="2" t="n">
        <v>0</v>
      </c>
      <c r="S604" s="2" t="n">
        <v>0.2</v>
      </c>
      <c r="T604" s="2" t="n">
        <f aca="false">C604+Summary!$C$8*D604</f>
        <v>0.111815</v>
      </c>
      <c r="U604" s="2" t="n">
        <f aca="false">B604*T604</f>
        <v>1.317963405</v>
      </c>
      <c r="V604" s="2" t="n">
        <f aca="false">B604*C604</f>
        <v>1.308357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64</v>
      </c>
      <c r="G1" s="3" t="s">
        <v>66</v>
      </c>
      <c r="M1" s="3" t="s">
        <v>67</v>
      </c>
      <c r="S1" s="3" t="s">
        <v>68</v>
      </c>
      <c r="Y1" s="3" t="s">
        <v>70</v>
      </c>
      <c r="AE1" s="3" t="s">
        <v>71</v>
      </c>
      <c r="AK1" s="3" t="s">
        <v>72</v>
      </c>
      <c r="AQ1" s="3" t="s">
        <v>74</v>
      </c>
      <c r="AW1" s="3" t="s">
        <v>76</v>
      </c>
      <c r="BC1" s="3" t="s">
        <v>77</v>
      </c>
      <c r="BI1" s="3" t="s">
        <v>78</v>
      </c>
      <c r="BO1" s="3" t="s">
        <v>86</v>
      </c>
      <c r="BT1" s="3" t="s">
        <v>88</v>
      </c>
    </row>
    <row r="2" customFormat="false" ht="15" hidden="false" customHeight="false" outlineLevel="0" collapsed="false">
      <c r="A2" s="6" t="s">
        <v>115</v>
      </c>
      <c r="B2" s="6" t="s">
        <v>116</v>
      </c>
      <c r="C2" s="6" t="s">
        <v>117</v>
      </c>
      <c r="D2" s="6" t="s">
        <v>118</v>
      </c>
      <c r="E2" s="6" t="s">
        <v>38</v>
      </c>
      <c r="G2" s="6" t="s">
        <v>115</v>
      </c>
      <c r="H2" s="6" t="s">
        <v>116</v>
      </c>
      <c r="I2" s="6" t="s">
        <v>117</v>
      </c>
      <c r="J2" s="6" t="s">
        <v>118</v>
      </c>
      <c r="K2" s="6" t="s">
        <v>38</v>
      </c>
      <c r="M2" s="6" t="s">
        <v>115</v>
      </c>
      <c r="N2" s="6" t="s">
        <v>116</v>
      </c>
      <c r="O2" s="6" t="s">
        <v>117</v>
      </c>
      <c r="P2" s="6" t="s">
        <v>118</v>
      </c>
      <c r="Q2" s="6" t="s">
        <v>38</v>
      </c>
      <c r="S2" s="6" t="s">
        <v>115</v>
      </c>
      <c r="T2" s="6" t="s">
        <v>116</v>
      </c>
      <c r="U2" s="6" t="s">
        <v>117</v>
      </c>
      <c r="V2" s="6" t="s">
        <v>118</v>
      </c>
      <c r="W2" s="6" t="s">
        <v>38</v>
      </c>
      <c r="Y2" s="6" t="s">
        <v>115</v>
      </c>
      <c r="Z2" s="6" t="s">
        <v>116</v>
      </c>
      <c r="AA2" s="6" t="s">
        <v>117</v>
      </c>
      <c r="AB2" s="6" t="s">
        <v>118</v>
      </c>
      <c r="AC2" s="6" t="s">
        <v>38</v>
      </c>
      <c r="AE2" s="6" t="s">
        <v>115</v>
      </c>
      <c r="AF2" s="6" t="s">
        <v>116</v>
      </c>
      <c r="AG2" s="6" t="s">
        <v>117</v>
      </c>
      <c r="AH2" s="6" t="s">
        <v>118</v>
      </c>
      <c r="AI2" s="6" t="s">
        <v>38</v>
      </c>
      <c r="AK2" s="6" t="s">
        <v>115</v>
      </c>
      <c r="AL2" s="6" t="s">
        <v>116</v>
      </c>
      <c r="AM2" s="6" t="s">
        <v>117</v>
      </c>
      <c r="AN2" s="6" t="s">
        <v>118</v>
      </c>
      <c r="AO2" s="6" t="s">
        <v>38</v>
      </c>
      <c r="AQ2" s="6" t="s">
        <v>115</v>
      </c>
      <c r="AR2" s="6" t="s">
        <v>116</v>
      </c>
      <c r="AS2" s="6" t="s">
        <v>117</v>
      </c>
      <c r="AT2" s="6" t="s">
        <v>118</v>
      </c>
      <c r="AU2" s="6" t="s">
        <v>38</v>
      </c>
      <c r="AW2" s="6" t="s">
        <v>115</v>
      </c>
      <c r="AX2" s="6" t="s">
        <v>116</v>
      </c>
      <c r="AY2" s="6" t="s">
        <v>117</v>
      </c>
      <c r="AZ2" s="6" t="s">
        <v>118</v>
      </c>
      <c r="BA2" s="6" t="s">
        <v>38</v>
      </c>
      <c r="BC2" s="6" t="s">
        <v>115</v>
      </c>
      <c r="BD2" s="6" t="s">
        <v>116</v>
      </c>
      <c r="BE2" s="6" t="s">
        <v>117</v>
      </c>
      <c r="BF2" s="6" t="s">
        <v>118</v>
      </c>
      <c r="BG2" s="6" t="s">
        <v>38</v>
      </c>
      <c r="BI2" s="6" t="s">
        <v>115</v>
      </c>
      <c r="BJ2" s="6" t="s">
        <v>116</v>
      </c>
      <c r="BK2" s="6" t="s">
        <v>117</v>
      </c>
      <c r="BL2" s="6" t="s">
        <v>118</v>
      </c>
      <c r="BM2" s="6" t="s">
        <v>38</v>
      </c>
      <c r="BO2" s="6" t="s">
        <v>115</v>
      </c>
      <c r="BP2" s="6" t="s">
        <v>38</v>
      </c>
      <c r="BQ2" s="6" t="s">
        <v>119</v>
      </c>
      <c r="BR2" s="6" t="s">
        <v>120</v>
      </c>
      <c r="BT2" s="6" t="s">
        <v>115</v>
      </c>
      <c r="BU2" s="6" t="s">
        <v>38</v>
      </c>
      <c r="BV2" s="6" t="s">
        <v>119</v>
      </c>
      <c r="BW2" s="6" t="s">
        <v>120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n">
        <v>2.586</v>
      </c>
      <c r="D3" s="0" t="n">
        <v>-2.976</v>
      </c>
      <c r="E3" s="0" t="n">
        <v>5.71</v>
      </c>
      <c r="G3" s="0" t="n">
        <v>0</v>
      </c>
      <c r="H3" s="0" t="n">
        <v>0</v>
      </c>
      <c r="I3" s="0" t="n">
        <v>3.057</v>
      </c>
      <c r="J3" s="0" t="n">
        <v>-1.464</v>
      </c>
      <c r="K3" s="0" t="n">
        <v>4.66</v>
      </c>
      <c r="M3" s="0" t="n">
        <v>0</v>
      </c>
      <c r="N3" s="0" t="n">
        <v>0</v>
      </c>
      <c r="O3" s="0" t="n">
        <v>1.316</v>
      </c>
      <c r="P3" s="0" t="n">
        <v>-2.553</v>
      </c>
      <c r="Q3" s="0" t="n">
        <v>3.979</v>
      </c>
      <c r="S3" s="0" t="n">
        <v>0</v>
      </c>
      <c r="T3" s="0" t="n">
        <v>0</v>
      </c>
      <c r="U3" s="0" t="n">
        <v>1.335</v>
      </c>
      <c r="V3" s="0" t="n">
        <v>-3.853</v>
      </c>
      <c r="W3" s="0" t="n">
        <v>5.32</v>
      </c>
      <c r="Y3" s="0" t="n">
        <v>0</v>
      </c>
      <c r="Z3" s="0" t="n">
        <v>0</v>
      </c>
      <c r="AA3" s="0" t="n">
        <v>2.539</v>
      </c>
      <c r="AB3" s="0" t="n">
        <v>-2.146</v>
      </c>
      <c r="AC3" s="0" t="n">
        <v>4.822</v>
      </c>
      <c r="AE3" s="0" t="n">
        <v>0</v>
      </c>
      <c r="AF3" s="0" t="n">
        <v>0.013</v>
      </c>
      <c r="AG3" s="0" t="n">
        <v>15.059</v>
      </c>
      <c r="AH3" s="0" t="n">
        <v>11.353</v>
      </c>
      <c r="AI3" s="0" t="n">
        <v>3.945</v>
      </c>
      <c r="AK3" s="0" t="n">
        <v>0</v>
      </c>
      <c r="AL3" s="0" t="n">
        <v>0</v>
      </c>
      <c r="AM3" s="0" t="n">
        <v>8.014</v>
      </c>
      <c r="AN3" s="0" t="n">
        <v>4.814</v>
      </c>
      <c r="AO3" s="0" t="n">
        <v>3.351</v>
      </c>
      <c r="AQ3" s="0" t="n">
        <v>0</v>
      </c>
      <c r="AR3" s="0" t="n">
        <v>0</v>
      </c>
      <c r="AS3" s="0" t="n">
        <v>1.328</v>
      </c>
      <c r="AT3" s="0" t="n">
        <v>1.205</v>
      </c>
      <c r="AU3" s="0" t="n">
        <v>0.128</v>
      </c>
      <c r="AW3" s="0" t="n">
        <v>0</v>
      </c>
      <c r="AX3" s="0" t="n">
        <v>0.013</v>
      </c>
      <c r="AY3" s="0" t="n">
        <v>8.213</v>
      </c>
      <c r="AZ3" s="0" t="n">
        <v>7.571</v>
      </c>
      <c r="BA3" s="0" t="n">
        <v>0.677</v>
      </c>
      <c r="BC3" s="0" t="n">
        <v>0</v>
      </c>
      <c r="BD3" s="0" t="n">
        <v>0.027</v>
      </c>
      <c r="BE3" s="0" t="n">
        <v>9.223</v>
      </c>
      <c r="BF3" s="0" t="n">
        <v>9.069</v>
      </c>
      <c r="BG3" s="0" t="n">
        <v>0.163</v>
      </c>
      <c r="BI3" s="0" t="n">
        <v>0</v>
      </c>
      <c r="BJ3" s="0" t="n">
        <v>0</v>
      </c>
      <c r="BK3" s="0" t="n">
        <v>3.397</v>
      </c>
      <c r="BL3" s="0" t="n">
        <v>3.354</v>
      </c>
      <c r="BM3" s="0" t="n">
        <v>0.045</v>
      </c>
      <c r="BO3" s="0" t="n">
        <v>0</v>
      </c>
      <c r="BP3" s="0" t="n">
        <v>5.611</v>
      </c>
      <c r="BQ3" s="0" t="n">
        <v>1.345</v>
      </c>
      <c r="BR3" s="0" t="n">
        <v>4.132</v>
      </c>
      <c r="BT3" s="0" t="n">
        <v>0</v>
      </c>
      <c r="BU3" s="0" t="n">
        <v>3.925</v>
      </c>
      <c r="BV3" s="0" t="n">
        <v>1.322</v>
      </c>
      <c r="BW3" s="0" t="n">
        <v>2.493</v>
      </c>
    </row>
    <row r="4" customFormat="false" ht="15" hidden="false" customHeight="false" outlineLevel="0" collapsed="false">
      <c r="A4" s="0" t="n">
        <v>0.2</v>
      </c>
      <c r="B4" s="0" t="n">
        <v>0</v>
      </c>
      <c r="C4" s="0" t="n">
        <v>7.399</v>
      </c>
      <c r="D4" s="0" t="n">
        <v>1.95</v>
      </c>
      <c r="E4" s="0" t="n">
        <v>5.657</v>
      </c>
      <c r="G4" s="0" t="n">
        <v>0.2</v>
      </c>
      <c r="H4" s="0" t="n">
        <v>0</v>
      </c>
      <c r="I4" s="0" t="n">
        <v>11.603</v>
      </c>
      <c r="J4" s="0" t="n">
        <v>7.264</v>
      </c>
      <c r="K4" s="0" t="n">
        <v>4.551</v>
      </c>
      <c r="M4" s="0" t="n">
        <v>0.2</v>
      </c>
      <c r="N4" s="0" t="n">
        <v>0</v>
      </c>
      <c r="O4" s="0" t="n">
        <v>2.718</v>
      </c>
      <c r="P4" s="0" t="n">
        <v>-1.118</v>
      </c>
      <c r="Q4" s="0" t="n">
        <v>3.958</v>
      </c>
      <c r="S4" s="0" t="n">
        <v>0.2</v>
      </c>
      <c r="T4" s="0" t="n">
        <v>0</v>
      </c>
      <c r="U4" s="0" t="n">
        <v>6.326</v>
      </c>
      <c r="V4" s="0" t="n">
        <v>1.197</v>
      </c>
      <c r="W4" s="0" t="n">
        <v>5.312</v>
      </c>
      <c r="Y4" s="0" t="n">
        <v>0.19</v>
      </c>
      <c r="Z4" s="0" t="n">
        <v>0</v>
      </c>
      <c r="AA4" s="0" t="n">
        <v>14.512</v>
      </c>
      <c r="AB4" s="0" t="n">
        <v>10.129</v>
      </c>
      <c r="AC4" s="0" t="n">
        <v>4.656</v>
      </c>
      <c r="AE4" s="0" t="n">
        <v>0.2</v>
      </c>
      <c r="AF4" s="0" t="n">
        <v>0.013</v>
      </c>
      <c r="AG4" s="0" t="n">
        <v>9.207</v>
      </c>
      <c r="AH4" s="0" t="n">
        <v>5.554</v>
      </c>
      <c r="AI4" s="0" t="n">
        <v>3.834</v>
      </c>
      <c r="AK4" s="0" t="n">
        <v>0.2</v>
      </c>
      <c r="AL4" s="0" t="n">
        <v>0</v>
      </c>
      <c r="AM4" s="0" t="n">
        <v>10.871</v>
      </c>
      <c r="AN4" s="0" t="n">
        <v>7.852</v>
      </c>
      <c r="AO4" s="0" t="n">
        <v>3.189</v>
      </c>
      <c r="AQ4" s="0" t="n">
        <v>0.2</v>
      </c>
      <c r="AR4" s="0" t="n">
        <v>0</v>
      </c>
      <c r="AS4" s="0" t="n">
        <v>3.719</v>
      </c>
      <c r="AT4" s="0" t="n">
        <v>3.594</v>
      </c>
      <c r="AU4" s="0" t="n">
        <v>0.13</v>
      </c>
      <c r="AW4" s="0" t="n">
        <v>0.2</v>
      </c>
      <c r="AX4" s="0" t="n">
        <v>0.013</v>
      </c>
      <c r="AY4" s="0" t="n">
        <v>11.498</v>
      </c>
      <c r="AZ4" s="0" t="n">
        <v>10.716</v>
      </c>
      <c r="BA4" s="0" t="n">
        <v>0.834</v>
      </c>
      <c r="BC4" s="0" t="n">
        <v>0.2</v>
      </c>
      <c r="BD4" s="0" t="n">
        <v>0.027</v>
      </c>
      <c r="BE4" s="0" t="n">
        <v>11.021</v>
      </c>
      <c r="BF4" s="0" t="n">
        <v>10.811</v>
      </c>
      <c r="BG4" s="0" t="n">
        <v>0.224</v>
      </c>
      <c r="BI4" s="0" t="n">
        <v>0.18</v>
      </c>
      <c r="BJ4" s="0" t="n">
        <v>0.013</v>
      </c>
      <c r="BK4" s="0" t="n">
        <v>12.779</v>
      </c>
      <c r="BL4" s="0" t="n">
        <v>12.731</v>
      </c>
      <c r="BM4" s="0" t="n">
        <v>0.051</v>
      </c>
      <c r="BO4" s="0" t="n">
        <v>0.19</v>
      </c>
      <c r="BP4" s="0" t="n">
        <v>5.605</v>
      </c>
      <c r="BQ4" s="0" t="n">
        <v>1.339</v>
      </c>
      <c r="BR4" s="0" t="n">
        <v>4.132</v>
      </c>
      <c r="BT4" s="0" t="n">
        <v>0.2</v>
      </c>
      <c r="BU4" s="0" t="n">
        <v>3.933</v>
      </c>
      <c r="BV4" s="0" t="n">
        <v>1.318</v>
      </c>
      <c r="BW4" s="0" t="n">
        <v>2.504</v>
      </c>
    </row>
    <row r="5" customFormat="false" ht="15" hidden="false" customHeight="false" outlineLevel="0" collapsed="false">
      <c r="A5" s="0" t="n">
        <v>0.4</v>
      </c>
      <c r="B5" s="0" t="n">
        <v>0</v>
      </c>
      <c r="C5" s="0" t="n">
        <v>6.679</v>
      </c>
      <c r="D5" s="0" t="n">
        <v>1.241</v>
      </c>
      <c r="E5" s="0" t="n">
        <v>5.646</v>
      </c>
      <c r="G5" s="0" t="n">
        <v>0.4</v>
      </c>
      <c r="H5" s="0" t="n">
        <v>0.108</v>
      </c>
      <c r="I5" s="0" t="n">
        <v>11.815</v>
      </c>
      <c r="J5" s="0" t="n">
        <v>7.498</v>
      </c>
      <c r="K5" s="0" t="n">
        <v>4.542</v>
      </c>
      <c r="M5" s="0" t="n">
        <v>0.4</v>
      </c>
      <c r="N5" s="0" t="n">
        <v>0</v>
      </c>
      <c r="O5" s="0" t="n">
        <v>2.977</v>
      </c>
      <c r="P5" s="0" t="n">
        <v>-0.843</v>
      </c>
      <c r="Q5" s="0" t="n">
        <v>3.946</v>
      </c>
      <c r="S5" s="0" t="n">
        <v>0.4</v>
      </c>
      <c r="T5" s="0" t="n">
        <v>0</v>
      </c>
      <c r="U5" s="0" t="n">
        <v>5.06</v>
      </c>
      <c r="V5" s="0" t="n">
        <v>-0.107</v>
      </c>
      <c r="W5" s="0" t="n">
        <v>5.338</v>
      </c>
      <c r="Y5" s="0" t="n">
        <v>0.39</v>
      </c>
      <c r="Z5" s="0" t="n">
        <v>0.122</v>
      </c>
      <c r="AA5" s="0" t="n">
        <v>8.026</v>
      </c>
      <c r="AB5" s="0" t="n">
        <v>3.672</v>
      </c>
      <c r="AC5" s="0" t="n">
        <v>4.539</v>
      </c>
      <c r="AE5" s="0" t="n">
        <v>0.4</v>
      </c>
      <c r="AF5" s="0" t="n">
        <v>0.258</v>
      </c>
      <c r="AG5" s="0" t="n">
        <v>7.191</v>
      </c>
      <c r="AH5" s="0" t="n">
        <v>3.517</v>
      </c>
      <c r="AI5" s="0" t="n">
        <v>3.833</v>
      </c>
      <c r="AK5" s="0" t="n">
        <v>0.4</v>
      </c>
      <c r="AL5" s="0" t="n">
        <v>0.149</v>
      </c>
      <c r="AM5" s="0" t="n">
        <v>7.704</v>
      </c>
      <c r="AN5" s="0" t="n">
        <v>4.647</v>
      </c>
      <c r="AO5" s="0" t="n">
        <v>3.196</v>
      </c>
      <c r="AQ5" s="0" t="n">
        <v>0.41</v>
      </c>
      <c r="AR5" s="0" t="n">
        <v>0.013</v>
      </c>
      <c r="AS5" s="0" t="n">
        <v>4.672</v>
      </c>
      <c r="AT5" s="0" t="n">
        <v>4.548</v>
      </c>
      <c r="AU5" s="0" t="n">
        <v>0.13</v>
      </c>
      <c r="AW5" s="0" t="n">
        <v>0.4</v>
      </c>
      <c r="AX5" s="0" t="n">
        <v>0.122</v>
      </c>
      <c r="AY5" s="0" t="n">
        <v>8.278</v>
      </c>
      <c r="AZ5" s="0" t="n">
        <v>5.394</v>
      </c>
      <c r="BA5" s="0" t="n">
        <v>3.037</v>
      </c>
      <c r="BC5" s="0" t="n">
        <v>0.4</v>
      </c>
      <c r="BD5" s="0" t="n">
        <v>0.231</v>
      </c>
      <c r="BE5" s="0" t="n">
        <v>6.557</v>
      </c>
      <c r="BF5" s="0" t="n">
        <v>6.29</v>
      </c>
      <c r="BG5" s="0" t="n">
        <v>0.282</v>
      </c>
      <c r="BI5" s="0" t="n">
        <v>0.38</v>
      </c>
      <c r="BJ5" s="0" t="n">
        <v>0.353</v>
      </c>
      <c r="BK5" s="0" t="n">
        <v>8.584</v>
      </c>
      <c r="BL5" s="0" t="n">
        <v>8.542</v>
      </c>
      <c r="BM5" s="0" t="n">
        <v>0.045</v>
      </c>
      <c r="BO5" s="0" t="n">
        <v>0.4</v>
      </c>
      <c r="BP5" s="0" t="n">
        <v>5.612</v>
      </c>
      <c r="BQ5" s="0" t="n">
        <v>1.346</v>
      </c>
      <c r="BR5" s="0" t="n">
        <v>4.131</v>
      </c>
      <c r="BT5" s="0" t="n">
        <v>0.4</v>
      </c>
      <c r="BU5" s="0" t="n">
        <v>3.908</v>
      </c>
      <c r="BV5" s="0" t="n">
        <v>1.746</v>
      </c>
      <c r="BW5" s="0" t="n">
        <v>2.05</v>
      </c>
    </row>
    <row r="6" customFormat="false" ht="15" hidden="false" customHeight="false" outlineLevel="0" collapsed="false">
      <c r="A6" s="0" t="n">
        <v>0.6</v>
      </c>
      <c r="B6" s="0" t="n">
        <v>0</v>
      </c>
      <c r="C6" s="0" t="n">
        <v>4.868</v>
      </c>
      <c r="D6" s="0" t="n">
        <v>-0.606</v>
      </c>
      <c r="E6" s="0" t="n">
        <v>5.654</v>
      </c>
      <c r="G6" s="0" t="n">
        <v>0.6</v>
      </c>
      <c r="H6" s="0" t="n">
        <v>0.217</v>
      </c>
      <c r="I6" s="0" t="n">
        <v>7.492</v>
      </c>
      <c r="J6" s="0" t="n">
        <v>3.244</v>
      </c>
      <c r="K6" s="0" t="n">
        <v>4.434</v>
      </c>
      <c r="M6" s="0" t="n">
        <v>0.6</v>
      </c>
      <c r="N6" s="0" t="n">
        <v>0</v>
      </c>
      <c r="O6" s="0" t="n">
        <v>7.711</v>
      </c>
      <c r="P6" s="0" t="n">
        <v>3.962</v>
      </c>
      <c r="Q6" s="0" t="n">
        <v>3.913</v>
      </c>
      <c r="S6" s="0" t="n">
        <v>0.6</v>
      </c>
      <c r="T6" s="0" t="n">
        <v>0</v>
      </c>
      <c r="U6" s="0" t="n">
        <v>5.012</v>
      </c>
      <c r="V6" s="0" t="n">
        <v>-0.154</v>
      </c>
      <c r="W6" s="0" t="n">
        <v>5.34</v>
      </c>
      <c r="Y6" s="0" t="n">
        <v>0.59</v>
      </c>
      <c r="Z6" s="0" t="n">
        <v>0.217</v>
      </c>
      <c r="AA6" s="0" t="n">
        <v>6.951</v>
      </c>
      <c r="AB6" s="0" t="n">
        <v>2.592</v>
      </c>
      <c r="AC6" s="0" t="n">
        <v>4.539</v>
      </c>
      <c r="AE6" s="0" t="n">
        <v>0.6</v>
      </c>
      <c r="AF6" s="0" t="n">
        <v>0.231</v>
      </c>
      <c r="AG6" s="0" t="n">
        <v>5.853</v>
      </c>
      <c r="AH6" s="0" t="n">
        <v>2.099</v>
      </c>
      <c r="AI6" s="0" t="n">
        <v>3.906</v>
      </c>
      <c r="AK6" s="0" t="n">
        <v>0.6</v>
      </c>
      <c r="AL6" s="0" t="n">
        <v>0.285</v>
      </c>
      <c r="AM6" s="0" t="n">
        <v>5.893</v>
      </c>
      <c r="AN6" s="0" t="n">
        <v>2.85</v>
      </c>
      <c r="AO6" s="0" t="n">
        <v>3.171</v>
      </c>
      <c r="AQ6" s="0" t="n">
        <v>0.61</v>
      </c>
      <c r="AR6" s="0" t="n">
        <v>0</v>
      </c>
      <c r="AS6" s="0" t="n">
        <v>5.284</v>
      </c>
      <c r="AT6" s="0" t="n">
        <v>5.159</v>
      </c>
      <c r="AU6" s="0" t="n">
        <v>0.131</v>
      </c>
      <c r="AW6" s="0" t="n">
        <v>0.6</v>
      </c>
      <c r="AX6" s="0" t="n">
        <v>0.299</v>
      </c>
      <c r="AY6" s="0" t="n">
        <v>7.789</v>
      </c>
      <c r="AZ6" s="0" t="n">
        <v>5.341</v>
      </c>
      <c r="BA6" s="0" t="n">
        <v>2.576</v>
      </c>
      <c r="BC6" s="0" t="n">
        <v>0.6</v>
      </c>
      <c r="BD6" s="0" t="n">
        <v>0.503</v>
      </c>
      <c r="BE6" s="0" t="n">
        <v>6.154</v>
      </c>
      <c r="BF6" s="0" t="n">
        <v>6.008</v>
      </c>
      <c r="BG6" s="0" t="n">
        <v>0.154</v>
      </c>
      <c r="BI6" s="0" t="n">
        <v>0.59</v>
      </c>
      <c r="BJ6" s="0" t="n">
        <v>0.598</v>
      </c>
      <c r="BK6" s="0" t="n">
        <v>6.764</v>
      </c>
      <c r="BL6" s="0" t="n">
        <v>6.717</v>
      </c>
      <c r="BM6" s="0" t="n">
        <v>0.05</v>
      </c>
      <c r="BO6" s="0" t="n">
        <v>0.6</v>
      </c>
      <c r="BP6" s="0" t="n">
        <v>5.629</v>
      </c>
      <c r="BQ6" s="0" t="n">
        <v>1.351</v>
      </c>
      <c r="BR6" s="0" t="n">
        <v>4.144</v>
      </c>
      <c r="BT6" s="0" t="n">
        <v>0.6</v>
      </c>
      <c r="BU6" s="0" t="n">
        <v>3.949</v>
      </c>
      <c r="BV6" s="0" t="n">
        <v>1.31</v>
      </c>
      <c r="BW6" s="0" t="n">
        <v>2.528</v>
      </c>
    </row>
    <row r="7" customFormat="false" ht="15" hidden="false" customHeight="false" outlineLevel="0" collapsed="false">
      <c r="A7" s="0" t="n">
        <v>0.8</v>
      </c>
      <c r="B7" s="0" t="n">
        <v>0.095</v>
      </c>
      <c r="C7" s="0" t="n">
        <v>3.616</v>
      </c>
      <c r="D7" s="0" t="n">
        <v>-1.834</v>
      </c>
      <c r="E7" s="0" t="n">
        <v>5.615</v>
      </c>
      <c r="G7" s="0" t="n">
        <v>0.8</v>
      </c>
      <c r="H7" s="0" t="n">
        <v>0.217</v>
      </c>
      <c r="I7" s="0" t="n">
        <v>6.047</v>
      </c>
      <c r="J7" s="0" t="n">
        <v>1.82</v>
      </c>
      <c r="K7" s="0" t="n">
        <v>4.387</v>
      </c>
      <c r="M7" s="0" t="n">
        <v>0.8</v>
      </c>
      <c r="N7" s="0" t="n">
        <v>0</v>
      </c>
      <c r="O7" s="0" t="n">
        <v>6.498</v>
      </c>
      <c r="P7" s="0" t="n">
        <v>2.579</v>
      </c>
      <c r="Q7" s="0" t="n">
        <v>4.084</v>
      </c>
      <c r="S7" s="0" t="n">
        <v>0.8</v>
      </c>
      <c r="T7" s="0" t="n">
        <v>0</v>
      </c>
      <c r="U7" s="0" t="n">
        <v>10.742</v>
      </c>
      <c r="V7" s="0" t="n">
        <v>5.74</v>
      </c>
      <c r="W7" s="0" t="n">
        <v>5.24</v>
      </c>
      <c r="Y7" s="0" t="n">
        <v>0.79</v>
      </c>
      <c r="Z7" s="0" t="n">
        <v>0.217</v>
      </c>
      <c r="AA7" s="0" t="n">
        <v>5.509</v>
      </c>
      <c r="AB7" s="0" t="n">
        <v>1.134</v>
      </c>
      <c r="AC7" s="0" t="n">
        <v>4.544</v>
      </c>
      <c r="AE7" s="0" t="n">
        <v>0.8</v>
      </c>
      <c r="AF7" s="0" t="n">
        <v>0.258</v>
      </c>
      <c r="AG7" s="0" t="n">
        <v>5.642</v>
      </c>
      <c r="AH7" s="0" t="n">
        <v>2.086</v>
      </c>
      <c r="AI7" s="0" t="n">
        <v>3.701</v>
      </c>
      <c r="AK7" s="0" t="n">
        <v>0.8</v>
      </c>
      <c r="AL7" s="0" t="n">
        <v>0.34</v>
      </c>
      <c r="AM7" s="0" t="n">
        <v>6.158</v>
      </c>
      <c r="AN7" s="0" t="n">
        <v>3.193</v>
      </c>
      <c r="AO7" s="0" t="n">
        <v>3.088</v>
      </c>
      <c r="AQ7" s="0" t="n">
        <v>0.81</v>
      </c>
      <c r="AR7" s="0" t="n">
        <v>0.095</v>
      </c>
      <c r="AS7" s="0" t="n">
        <v>6.398</v>
      </c>
      <c r="AT7" s="0" t="n">
        <v>6.283</v>
      </c>
      <c r="AU7" s="0" t="n">
        <v>0.121</v>
      </c>
      <c r="AW7" s="0" t="n">
        <v>0.8</v>
      </c>
      <c r="AX7" s="0" t="n">
        <v>0.394</v>
      </c>
      <c r="AY7" s="0" t="n">
        <v>6.432</v>
      </c>
      <c r="AZ7" s="0" t="n">
        <v>4.382</v>
      </c>
      <c r="BA7" s="0" t="n">
        <v>2.147</v>
      </c>
      <c r="BC7" s="0" t="n">
        <v>0.8</v>
      </c>
      <c r="BD7" s="0" t="n">
        <v>0.694</v>
      </c>
      <c r="BE7" s="0" t="n">
        <v>6.253</v>
      </c>
      <c r="BF7" s="0" t="n">
        <v>6.132</v>
      </c>
      <c r="BG7" s="0" t="n">
        <v>0.127</v>
      </c>
      <c r="BI7" s="0" t="n">
        <v>0.78</v>
      </c>
      <c r="BJ7" s="0" t="n">
        <v>0.598</v>
      </c>
      <c r="BK7" s="0" t="n">
        <v>6.501</v>
      </c>
      <c r="BL7" s="0" t="n">
        <v>6.454</v>
      </c>
      <c r="BM7" s="0" t="n">
        <v>0.05</v>
      </c>
      <c r="BO7" s="0" t="n">
        <v>0.79</v>
      </c>
      <c r="BP7" s="0" t="n">
        <v>5.635</v>
      </c>
      <c r="BQ7" s="0" t="n">
        <v>1.332</v>
      </c>
      <c r="BR7" s="0" t="n">
        <v>4.168</v>
      </c>
      <c r="BT7" s="0" t="n">
        <v>0.8</v>
      </c>
      <c r="BU7" s="0" t="n">
        <v>3.97</v>
      </c>
      <c r="BV7" s="0" t="n">
        <v>1.318</v>
      </c>
      <c r="BW7" s="0" t="n">
        <v>2.54</v>
      </c>
    </row>
    <row r="8" customFormat="false" ht="15" hidden="false" customHeight="false" outlineLevel="0" collapsed="false">
      <c r="A8" s="0" t="n">
        <v>1</v>
      </c>
      <c r="B8" s="0" t="n">
        <v>0.136</v>
      </c>
      <c r="C8" s="0" t="n">
        <v>6.089</v>
      </c>
      <c r="D8" s="0" t="n">
        <v>0.746</v>
      </c>
      <c r="E8" s="0" t="n">
        <v>5.535</v>
      </c>
      <c r="G8" s="0" t="n">
        <v>1</v>
      </c>
      <c r="H8" s="0" t="n">
        <v>0.231</v>
      </c>
      <c r="I8" s="0" t="n">
        <v>6.163</v>
      </c>
      <c r="J8" s="0" t="n">
        <v>2.166</v>
      </c>
      <c r="K8" s="0" t="n">
        <v>4.165</v>
      </c>
      <c r="M8" s="0" t="n">
        <v>1</v>
      </c>
      <c r="N8" s="0" t="n">
        <v>0.068</v>
      </c>
      <c r="O8" s="0" t="n">
        <v>6.602</v>
      </c>
      <c r="P8" s="0" t="n">
        <v>2.651</v>
      </c>
      <c r="Q8" s="0" t="n">
        <v>4.113</v>
      </c>
      <c r="S8" s="0" t="n">
        <v>1</v>
      </c>
      <c r="T8" s="0" t="n">
        <v>0</v>
      </c>
      <c r="U8" s="0" t="n">
        <v>6.822</v>
      </c>
      <c r="V8" s="0" t="n">
        <v>1.82</v>
      </c>
      <c r="W8" s="0" t="n">
        <v>5.195</v>
      </c>
      <c r="Y8" s="0" t="n">
        <v>0.99</v>
      </c>
      <c r="Z8" s="0" t="n">
        <v>0.19</v>
      </c>
      <c r="AA8" s="0" t="n">
        <v>6.12</v>
      </c>
      <c r="AB8" s="0" t="n">
        <v>2.02</v>
      </c>
      <c r="AC8" s="0" t="n">
        <v>4.26</v>
      </c>
      <c r="AE8" s="0" t="n">
        <v>1</v>
      </c>
      <c r="AF8" s="0" t="n">
        <v>0.326</v>
      </c>
      <c r="AG8" s="0" t="n">
        <v>5.914</v>
      </c>
      <c r="AH8" s="0" t="n">
        <v>2.412</v>
      </c>
      <c r="AI8" s="0" t="n">
        <v>3.652</v>
      </c>
      <c r="AK8" s="0" t="n">
        <v>1</v>
      </c>
      <c r="AL8" s="0" t="n">
        <v>0.353</v>
      </c>
      <c r="AM8" s="0" t="n">
        <v>5.968</v>
      </c>
      <c r="AN8" s="0" t="n">
        <v>3.4</v>
      </c>
      <c r="AO8" s="0" t="n">
        <v>2.679</v>
      </c>
      <c r="AQ8" s="0" t="n">
        <v>1.02</v>
      </c>
      <c r="AR8" s="0" t="n">
        <v>0.095</v>
      </c>
      <c r="AS8" s="0" t="n">
        <v>9.969</v>
      </c>
      <c r="AT8" s="0" t="n">
        <v>9.857</v>
      </c>
      <c r="AU8" s="0" t="n">
        <v>0.118</v>
      </c>
      <c r="AW8" s="0" t="n">
        <v>1</v>
      </c>
      <c r="AX8" s="0" t="n">
        <v>0.408</v>
      </c>
      <c r="AY8" s="0" t="n">
        <v>6.938</v>
      </c>
      <c r="AZ8" s="0" t="n">
        <v>6.774</v>
      </c>
      <c r="BA8" s="0" t="n">
        <v>0.172</v>
      </c>
      <c r="BC8" s="0" t="n">
        <v>1</v>
      </c>
      <c r="BD8" s="0" t="n">
        <v>0.68</v>
      </c>
      <c r="BE8" s="0" t="n">
        <v>7.501</v>
      </c>
      <c r="BF8" s="0" t="n">
        <v>7.375</v>
      </c>
      <c r="BG8" s="0" t="n">
        <v>0.133</v>
      </c>
      <c r="BI8" s="0" t="n">
        <v>0.98</v>
      </c>
      <c r="BJ8" s="0" t="n">
        <v>0.694</v>
      </c>
      <c r="BK8" s="0" t="n">
        <v>5.754</v>
      </c>
      <c r="BL8" s="0" t="n">
        <v>5.71</v>
      </c>
      <c r="BM8" s="0" t="n">
        <v>0.047</v>
      </c>
      <c r="BO8" s="0" t="n">
        <v>1</v>
      </c>
      <c r="BP8" s="0" t="n">
        <v>5.641</v>
      </c>
      <c r="BQ8" s="0" t="n">
        <v>1.351</v>
      </c>
      <c r="BR8" s="0" t="n">
        <v>4.157</v>
      </c>
      <c r="BT8" s="0" t="n">
        <v>1</v>
      </c>
      <c r="BU8" s="0" t="n">
        <v>4.018</v>
      </c>
      <c r="BV8" s="0" t="n">
        <v>1.317</v>
      </c>
      <c r="BW8" s="0" t="n">
        <v>2.588</v>
      </c>
    </row>
    <row r="9" customFormat="false" ht="15" hidden="false" customHeight="false" outlineLevel="0" collapsed="false">
      <c r="A9" s="0" t="n">
        <v>1.2</v>
      </c>
      <c r="B9" s="0" t="n">
        <v>0.027</v>
      </c>
      <c r="C9" s="0" t="n">
        <v>6.034</v>
      </c>
      <c r="D9" s="0" t="n">
        <v>0.699</v>
      </c>
      <c r="E9" s="0" t="n">
        <v>5.523</v>
      </c>
      <c r="G9" s="0" t="n">
        <v>1.2</v>
      </c>
      <c r="H9" s="0" t="n">
        <v>0.19</v>
      </c>
      <c r="I9" s="0" t="n">
        <v>5.018</v>
      </c>
      <c r="J9" s="0" t="n">
        <v>1.006</v>
      </c>
      <c r="K9" s="0" t="n">
        <v>4.157</v>
      </c>
      <c r="M9" s="0" t="n">
        <v>1.2</v>
      </c>
      <c r="N9" s="0" t="n">
        <v>0.068</v>
      </c>
      <c r="O9" s="0" t="n">
        <v>8.392</v>
      </c>
      <c r="P9" s="0" t="n">
        <v>4.448</v>
      </c>
      <c r="Q9" s="0" t="n">
        <v>4.123</v>
      </c>
      <c r="S9" s="0" t="n">
        <v>1.2</v>
      </c>
      <c r="T9" s="0" t="n">
        <v>0</v>
      </c>
      <c r="U9" s="0" t="n">
        <v>5.965</v>
      </c>
      <c r="V9" s="0" t="n">
        <v>0.947</v>
      </c>
      <c r="W9" s="0" t="n">
        <v>5.203</v>
      </c>
      <c r="Y9" s="0" t="n">
        <v>1.19</v>
      </c>
      <c r="Z9" s="0" t="n">
        <v>0.176</v>
      </c>
      <c r="AA9" s="0" t="n">
        <v>6.319</v>
      </c>
      <c r="AB9" s="0" t="n">
        <v>2.229</v>
      </c>
      <c r="AC9" s="0" t="n">
        <v>4.254</v>
      </c>
      <c r="AE9" s="0" t="n">
        <v>1.2</v>
      </c>
      <c r="AF9" s="0" t="n">
        <v>0.326</v>
      </c>
      <c r="AG9" s="0" t="n">
        <v>5.849</v>
      </c>
      <c r="AH9" s="0" t="n">
        <v>2.319</v>
      </c>
      <c r="AI9" s="0" t="n">
        <v>3.679</v>
      </c>
      <c r="AK9" s="0" t="n">
        <v>1.2</v>
      </c>
      <c r="AL9" s="0" t="n">
        <v>0.353</v>
      </c>
      <c r="AM9" s="0" t="n">
        <v>5.769</v>
      </c>
      <c r="AN9" s="0" t="n">
        <v>4.137</v>
      </c>
      <c r="AO9" s="0" t="n">
        <v>1.703</v>
      </c>
      <c r="AQ9" s="0" t="n">
        <v>1.22</v>
      </c>
      <c r="AR9" s="0" t="n">
        <v>0.204</v>
      </c>
      <c r="AS9" s="0" t="n">
        <v>6.589</v>
      </c>
      <c r="AT9" s="0" t="n">
        <v>6.461</v>
      </c>
      <c r="AU9" s="0" t="n">
        <v>0.135</v>
      </c>
      <c r="AW9" s="0" t="n">
        <v>1.2</v>
      </c>
      <c r="AX9" s="0" t="n">
        <v>0.408</v>
      </c>
      <c r="AY9" s="0" t="n">
        <v>6.434</v>
      </c>
      <c r="AZ9" s="0" t="n">
        <v>6.251</v>
      </c>
      <c r="BA9" s="0" t="n">
        <v>0.193</v>
      </c>
      <c r="BC9" s="0" t="n">
        <v>1.2</v>
      </c>
      <c r="BD9" s="0" t="n">
        <v>0.68</v>
      </c>
      <c r="BE9" s="0" t="n">
        <v>7.147</v>
      </c>
      <c r="BF9" s="0" t="n">
        <v>7.005</v>
      </c>
      <c r="BG9" s="0" t="n">
        <v>0.149</v>
      </c>
      <c r="BI9" s="0" t="n">
        <v>1.18</v>
      </c>
      <c r="BJ9" s="0" t="n">
        <v>0.68</v>
      </c>
      <c r="BK9" s="0" t="n">
        <v>7.042</v>
      </c>
      <c r="BL9" s="0" t="n">
        <v>7.006</v>
      </c>
      <c r="BM9" s="0" t="n">
        <v>0.038</v>
      </c>
      <c r="BO9" s="0" t="n">
        <v>1.19</v>
      </c>
      <c r="BP9" s="0" t="n">
        <v>5.647</v>
      </c>
      <c r="BQ9" s="0" t="n">
        <v>1.763</v>
      </c>
      <c r="BR9" s="0" t="n">
        <v>3.748</v>
      </c>
      <c r="BT9" s="0" t="n">
        <v>1.2</v>
      </c>
      <c r="BU9" s="0" t="n">
        <v>4.057</v>
      </c>
      <c r="BV9" s="0" t="n">
        <v>1.308</v>
      </c>
      <c r="BW9" s="0" t="n">
        <v>2.636</v>
      </c>
    </row>
    <row r="10" customFormat="false" ht="15" hidden="false" customHeight="false" outlineLevel="0" collapsed="false">
      <c r="A10" s="0" t="n">
        <v>1.4</v>
      </c>
      <c r="B10" s="0" t="n">
        <v>0.027</v>
      </c>
      <c r="C10" s="0" t="n">
        <v>6.232</v>
      </c>
      <c r="D10" s="0" t="n">
        <v>0.947</v>
      </c>
      <c r="E10" s="0" t="n">
        <v>5.479</v>
      </c>
      <c r="G10" s="0" t="n">
        <v>1.4</v>
      </c>
      <c r="H10" s="0" t="n">
        <v>0.149</v>
      </c>
      <c r="I10" s="0" t="n">
        <v>5.879</v>
      </c>
      <c r="J10" s="0" t="n">
        <v>1.797</v>
      </c>
      <c r="K10" s="0" t="n">
        <v>4.237</v>
      </c>
      <c r="M10" s="0" t="n">
        <v>1.4</v>
      </c>
      <c r="N10" s="0" t="n">
        <v>0.136</v>
      </c>
      <c r="O10" s="0" t="n">
        <v>7.436</v>
      </c>
      <c r="P10" s="0" t="n">
        <v>3.365</v>
      </c>
      <c r="Q10" s="0" t="n">
        <v>4.245</v>
      </c>
      <c r="S10" s="0" t="n">
        <v>1.4</v>
      </c>
      <c r="T10" s="0" t="n">
        <v>0.013</v>
      </c>
      <c r="U10" s="0" t="n">
        <v>6.045</v>
      </c>
      <c r="V10" s="0" t="n">
        <v>1.1</v>
      </c>
      <c r="W10" s="0" t="n">
        <v>5.128</v>
      </c>
      <c r="Y10" s="0" t="n">
        <v>1.39</v>
      </c>
      <c r="Z10" s="0" t="n">
        <v>0.19</v>
      </c>
      <c r="AA10" s="0" t="n">
        <v>5.574</v>
      </c>
      <c r="AB10" s="0" t="n">
        <v>1.464</v>
      </c>
      <c r="AC10" s="0" t="n">
        <v>4.273</v>
      </c>
      <c r="AE10" s="0" t="n">
        <v>1.4</v>
      </c>
      <c r="AF10" s="0" t="n">
        <v>0.299</v>
      </c>
      <c r="AG10" s="0" t="n">
        <v>2.306</v>
      </c>
      <c r="AH10" s="0" t="n">
        <v>-1.093</v>
      </c>
      <c r="AI10" s="0" t="n">
        <v>3.511</v>
      </c>
      <c r="AK10" s="0" t="n">
        <v>1.4</v>
      </c>
      <c r="AL10" s="0" t="n">
        <v>0.353</v>
      </c>
      <c r="AM10" s="0" t="n">
        <v>1.84</v>
      </c>
      <c r="AN10" s="0" t="n">
        <v>0.32</v>
      </c>
      <c r="AO10" s="0" t="n">
        <v>1.575</v>
      </c>
      <c r="AQ10" s="0" t="n">
        <v>1.42</v>
      </c>
      <c r="AR10" s="0" t="n">
        <v>0.585</v>
      </c>
      <c r="AS10" s="0" t="n">
        <v>6.665</v>
      </c>
      <c r="AT10" s="0" t="n">
        <v>6.523</v>
      </c>
      <c r="AU10" s="0" t="n">
        <v>0.149</v>
      </c>
      <c r="AW10" s="0" t="n">
        <v>1.4</v>
      </c>
      <c r="AX10" s="0" t="n">
        <v>0.707</v>
      </c>
      <c r="AY10" s="0" t="n">
        <v>5.956</v>
      </c>
      <c r="AZ10" s="0" t="n">
        <v>5.824</v>
      </c>
      <c r="BA10" s="0" t="n">
        <v>0.138</v>
      </c>
      <c r="BC10" s="0" t="n">
        <v>1.4</v>
      </c>
      <c r="BD10" s="0" t="n">
        <v>0.544</v>
      </c>
      <c r="BE10" s="0" t="n">
        <v>6.41</v>
      </c>
      <c r="BF10" s="0" t="n">
        <v>6.3</v>
      </c>
      <c r="BG10" s="0" t="n">
        <v>0.117</v>
      </c>
      <c r="BI10" s="0" t="n">
        <v>1.38</v>
      </c>
      <c r="BJ10" s="0" t="n">
        <v>0.653</v>
      </c>
      <c r="BK10" s="0" t="n">
        <v>6.601</v>
      </c>
      <c r="BL10" s="0" t="n">
        <v>6.558</v>
      </c>
      <c r="BM10" s="0" t="n">
        <v>0.045</v>
      </c>
      <c r="BO10" s="0" t="n">
        <v>1.4</v>
      </c>
      <c r="BP10" s="0" t="n">
        <v>5.681</v>
      </c>
      <c r="BQ10" s="0" t="n">
        <v>1.354</v>
      </c>
      <c r="BR10" s="0" t="n">
        <v>4.193</v>
      </c>
      <c r="BT10" s="0" t="n">
        <v>1.4</v>
      </c>
      <c r="BU10" s="0" t="n">
        <v>4.107</v>
      </c>
      <c r="BV10" s="0" t="n">
        <v>1.321</v>
      </c>
      <c r="BW10" s="0" t="n">
        <v>2.673</v>
      </c>
    </row>
    <row r="11" customFormat="false" ht="15" hidden="false" customHeight="false" outlineLevel="0" collapsed="false">
      <c r="A11" s="0" t="n">
        <v>1.6</v>
      </c>
      <c r="B11" s="0" t="n">
        <v>0</v>
      </c>
      <c r="C11" s="0" t="n">
        <v>5.644</v>
      </c>
      <c r="D11" s="0" t="n">
        <v>0.32</v>
      </c>
      <c r="E11" s="0" t="n">
        <v>5.511</v>
      </c>
      <c r="G11" s="0" t="n">
        <v>1.6</v>
      </c>
      <c r="H11" s="0" t="n">
        <v>0.163</v>
      </c>
      <c r="I11" s="0" t="n">
        <v>5.712</v>
      </c>
      <c r="J11" s="0" t="n">
        <v>1.581</v>
      </c>
      <c r="K11" s="0" t="n">
        <v>4.296</v>
      </c>
      <c r="M11" s="0" t="n">
        <v>1.6</v>
      </c>
      <c r="N11" s="0" t="n">
        <v>0.136</v>
      </c>
      <c r="O11" s="0" t="n">
        <v>7.04</v>
      </c>
      <c r="P11" s="0" t="n">
        <v>3</v>
      </c>
      <c r="Q11" s="0" t="n">
        <v>4.215</v>
      </c>
      <c r="S11" s="0" t="n">
        <v>1.6</v>
      </c>
      <c r="T11" s="0" t="n">
        <v>0</v>
      </c>
      <c r="U11" s="0" t="n">
        <v>5.961</v>
      </c>
      <c r="V11" s="0" t="n">
        <v>1.005</v>
      </c>
      <c r="W11" s="0" t="n">
        <v>5.142</v>
      </c>
      <c r="Y11" s="0" t="n">
        <v>1.59</v>
      </c>
      <c r="Z11" s="0" t="n">
        <v>0.19</v>
      </c>
      <c r="AA11" s="0" t="n">
        <v>2.207</v>
      </c>
      <c r="AB11" s="0" t="n">
        <v>-1.918</v>
      </c>
      <c r="AC11" s="0" t="n">
        <v>4.249</v>
      </c>
      <c r="AE11" s="0" t="n">
        <v>1.6</v>
      </c>
      <c r="AF11" s="0" t="n">
        <v>0.258</v>
      </c>
      <c r="AG11" s="0" t="n">
        <v>2.109</v>
      </c>
      <c r="AH11" s="0" t="n">
        <v>-1.26</v>
      </c>
      <c r="AI11" s="0" t="n">
        <v>3.477</v>
      </c>
      <c r="AK11" s="0" t="n">
        <v>1.6</v>
      </c>
      <c r="AL11" s="0" t="n">
        <v>0.326</v>
      </c>
      <c r="AM11" s="0" t="n">
        <v>1.315</v>
      </c>
      <c r="AN11" s="0" t="n">
        <v>-0.036</v>
      </c>
      <c r="AO11" s="0" t="n">
        <v>1.398</v>
      </c>
      <c r="AQ11" s="0" t="n">
        <v>1.62</v>
      </c>
      <c r="AR11" s="0" t="n">
        <v>0.68</v>
      </c>
      <c r="AS11" s="0" t="n">
        <v>5.704</v>
      </c>
      <c r="AT11" s="0" t="n">
        <v>5.521</v>
      </c>
      <c r="AU11" s="0" t="n">
        <v>0.192</v>
      </c>
      <c r="AW11" s="0" t="n">
        <v>1.6</v>
      </c>
      <c r="AX11" s="0" t="n">
        <v>0.694</v>
      </c>
      <c r="AY11" s="0" t="n">
        <v>5.671</v>
      </c>
      <c r="AZ11" s="0" t="n">
        <v>5.614</v>
      </c>
      <c r="BA11" s="0" t="n">
        <v>0.06</v>
      </c>
      <c r="BC11" s="0" t="n">
        <v>1.6</v>
      </c>
      <c r="BD11" s="0" t="n">
        <v>0.68</v>
      </c>
      <c r="BE11" s="0" t="n">
        <v>6.857</v>
      </c>
      <c r="BF11" s="0" t="n">
        <v>6.788</v>
      </c>
      <c r="BG11" s="0" t="n">
        <v>0.073</v>
      </c>
      <c r="BI11" s="0" t="n">
        <v>1.58</v>
      </c>
      <c r="BJ11" s="0" t="n">
        <v>0.694</v>
      </c>
      <c r="BK11" s="0" t="n">
        <v>6.43</v>
      </c>
      <c r="BL11" s="0" t="n">
        <v>6.384</v>
      </c>
      <c r="BM11" s="0" t="n">
        <v>0.048</v>
      </c>
      <c r="BO11" s="0" t="n">
        <v>1.6</v>
      </c>
      <c r="BP11" s="0" t="n">
        <v>5.694</v>
      </c>
      <c r="BQ11" s="0" t="n">
        <v>1.331</v>
      </c>
      <c r="BR11" s="0" t="n">
        <v>4.229</v>
      </c>
      <c r="BT11" s="0" t="n">
        <v>1.6</v>
      </c>
      <c r="BU11" s="0" t="n">
        <v>4.165</v>
      </c>
      <c r="BV11" s="0" t="n">
        <v>1.318</v>
      </c>
      <c r="BW11" s="0" t="n">
        <v>2.732</v>
      </c>
    </row>
    <row r="12" customFormat="false" ht="15" hidden="false" customHeight="false" outlineLevel="0" collapsed="false">
      <c r="A12" s="0" t="n">
        <v>1.8</v>
      </c>
      <c r="B12" s="0" t="n">
        <v>0</v>
      </c>
      <c r="C12" s="0" t="n">
        <v>5.096</v>
      </c>
      <c r="D12" s="0" t="n">
        <v>-0.202</v>
      </c>
      <c r="E12" s="0" t="n">
        <v>5.483</v>
      </c>
      <c r="G12" s="0" t="n">
        <v>1.8</v>
      </c>
      <c r="H12" s="0" t="n">
        <v>0.163</v>
      </c>
      <c r="I12" s="0" t="n">
        <v>5.967</v>
      </c>
      <c r="J12" s="0" t="n">
        <v>1.759</v>
      </c>
      <c r="K12" s="0" t="n">
        <v>4.372</v>
      </c>
      <c r="M12" s="0" t="n">
        <v>1.8</v>
      </c>
      <c r="N12" s="0" t="n">
        <v>0.122</v>
      </c>
      <c r="O12" s="0" t="n">
        <v>2.452</v>
      </c>
      <c r="P12" s="0" t="n">
        <v>-1.619</v>
      </c>
      <c r="Q12" s="0" t="n">
        <v>4.197</v>
      </c>
      <c r="S12" s="0" t="n">
        <v>1.8</v>
      </c>
      <c r="T12" s="0" t="n">
        <v>0</v>
      </c>
      <c r="U12" s="0" t="n">
        <v>5.887</v>
      </c>
      <c r="V12" s="0" t="n">
        <v>0.934</v>
      </c>
      <c r="W12" s="0" t="n">
        <v>5.142</v>
      </c>
      <c r="Y12" s="0" t="n">
        <v>1.79</v>
      </c>
      <c r="Z12" s="0" t="n">
        <v>0.19</v>
      </c>
      <c r="AA12" s="0" t="n">
        <v>1.413</v>
      </c>
      <c r="AB12" s="0" t="n">
        <v>-2.685</v>
      </c>
      <c r="AC12" s="0" t="n">
        <v>4.213</v>
      </c>
      <c r="AE12" s="0" t="n">
        <v>1.8</v>
      </c>
      <c r="AF12" s="0" t="n">
        <v>0.19</v>
      </c>
      <c r="AG12" s="0" t="n">
        <v>1.33</v>
      </c>
      <c r="AH12" s="0" t="n">
        <v>-1.989</v>
      </c>
      <c r="AI12" s="0" t="n">
        <v>3.419</v>
      </c>
      <c r="AK12" s="0" t="n">
        <v>1.8</v>
      </c>
      <c r="AL12" s="0" t="n">
        <v>0.163</v>
      </c>
      <c r="AM12" s="0" t="n">
        <v>1.307</v>
      </c>
      <c r="AN12" s="0" t="n">
        <v>-0.368</v>
      </c>
      <c r="AO12" s="0" t="n">
        <v>1.733</v>
      </c>
      <c r="AQ12" s="0" t="n">
        <v>1.82</v>
      </c>
      <c r="AR12" s="0" t="n">
        <v>0.517</v>
      </c>
      <c r="AS12" s="0" t="n">
        <v>6.633</v>
      </c>
      <c r="AT12" s="0" t="n">
        <v>6.437</v>
      </c>
      <c r="AU12" s="0" t="n">
        <v>0.206</v>
      </c>
      <c r="AW12" s="0" t="n">
        <v>1.8</v>
      </c>
      <c r="AX12" s="0" t="n">
        <v>0.735</v>
      </c>
      <c r="AY12" s="0" t="n">
        <v>5.636</v>
      </c>
      <c r="AZ12" s="0" t="n">
        <v>5.593</v>
      </c>
      <c r="BA12" s="0" t="n">
        <v>0.045</v>
      </c>
      <c r="BC12" s="0" t="n">
        <v>1.8</v>
      </c>
      <c r="BD12" s="0" t="n">
        <v>0.694</v>
      </c>
      <c r="BE12" s="0" t="n">
        <v>7.048</v>
      </c>
      <c r="BF12" s="0" t="n">
        <v>6.913</v>
      </c>
      <c r="BG12" s="0" t="n">
        <v>0.142</v>
      </c>
      <c r="BI12" s="0" t="n">
        <v>1.79</v>
      </c>
      <c r="BJ12" s="0" t="n">
        <v>0.694</v>
      </c>
      <c r="BK12" s="0" t="n">
        <v>6.509</v>
      </c>
      <c r="BL12" s="0" t="n">
        <v>6.485</v>
      </c>
      <c r="BM12" s="0" t="n">
        <v>0.026</v>
      </c>
      <c r="BO12" s="0" t="n">
        <v>1.79</v>
      </c>
      <c r="BP12" s="0" t="n">
        <v>5.713</v>
      </c>
      <c r="BQ12" s="0" t="n">
        <v>1.361</v>
      </c>
      <c r="BR12" s="0" t="n">
        <v>4.217</v>
      </c>
      <c r="BT12" s="0" t="n">
        <v>1.8</v>
      </c>
      <c r="BU12" s="0" t="n">
        <v>4.223</v>
      </c>
      <c r="BV12" s="0" t="n">
        <v>1.314</v>
      </c>
      <c r="BW12" s="0" t="n">
        <v>2.791</v>
      </c>
    </row>
    <row r="13" customFormat="false" ht="15" hidden="false" customHeight="false" outlineLevel="0" collapsed="false">
      <c r="A13" s="0" t="n">
        <v>2</v>
      </c>
      <c r="B13" s="0" t="n">
        <v>0.027</v>
      </c>
      <c r="C13" s="0" t="n">
        <v>5.109</v>
      </c>
      <c r="D13" s="0" t="n">
        <v>-0.166</v>
      </c>
      <c r="E13" s="0" t="n">
        <v>5.464</v>
      </c>
      <c r="G13" s="0" t="n">
        <v>2</v>
      </c>
      <c r="H13" s="0" t="n">
        <v>0.163</v>
      </c>
      <c r="I13" s="0" t="n">
        <v>6.293</v>
      </c>
      <c r="J13" s="0" t="n">
        <v>2.135</v>
      </c>
      <c r="K13" s="0" t="n">
        <v>4.326</v>
      </c>
      <c r="M13" s="0" t="n">
        <v>2</v>
      </c>
      <c r="N13" s="0" t="n">
        <v>0.108</v>
      </c>
      <c r="O13" s="0" t="n">
        <v>2.596</v>
      </c>
      <c r="P13" s="0" t="n">
        <v>-1.403</v>
      </c>
      <c r="Q13" s="0" t="n">
        <v>4.126</v>
      </c>
      <c r="S13" s="0" t="n">
        <v>2</v>
      </c>
      <c r="T13" s="0" t="n">
        <v>0.013</v>
      </c>
      <c r="U13" s="0" t="n">
        <v>5.923</v>
      </c>
      <c r="V13" s="0" t="n">
        <v>1.064</v>
      </c>
      <c r="W13" s="0" t="n">
        <v>5.046</v>
      </c>
      <c r="Y13" s="0" t="n">
        <v>1.99</v>
      </c>
      <c r="Z13" s="0" t="n">
        <v>0.149</v>
      </c>
      <c r="AA13" s="0" t="n">
        <v>1.309</v>
      </c>
      <c r="AB13" s="0" t="n">
        <v>-2.78</v>
      </c>
      <c r="AC13" s="0" t="n">
        <v>4.205</v>
      </c>
      <c r="AE13" s="0" t="n">
        <v>2</v>
      </c>
      <c r="AF13" s="0" t="n">
        <v>0.068</v>
      </c>
      <c r="AG13" s="0" t="n">
        <v>1.305</v>
      </c>
      <c r="AH13" s="0" t="n">
        <v>-1.977</v>
      </c>
      <c r="AI13" s="0" t="n">
        <v>3.381</v>
      </c>
      <c r="AK13" s="0" t="n">
        <v>2</v>
      </c>
      <c r="AL13" s="0" t="n">
        <v>0.068</v>
      </c>
      <c r="AM13" s="0" t="n">
        <v>1.302</v>
      </c>
      <c r="AN13" s="0" t="n">
        <v>-0.57</v>
      </c>
      <c r="AO13" s="0" t="n">
        <v>1.935</v>
      </c>
      <c r="AQ13" s="0" t="n">
        <v>2.02</v>
      </c>
      <c r="AR13" s="0" t="n">
        <v>0.517</v>
      </c>
      <c r="AS13" s="0" t="n">
        <v>5.973</v>
      </c>
      <c r="AT13" s="0" t="n">
        <v>5.773</v>
      </c>
      <c r="AU13" s="0" t="n">
        <v>0.211</v>
      </c>
      <c r="AW13" s="0" t="n">
        <v>2</v>
      </c>
      <c r="AX13" s="0" t="n">
        <v>0.735</v>
      </c>
      <c r="AY13" s="0" t="n">
        <v>5.399</v>
      </c>
      <c r="AZ13" s="0" t="n">
        <v>5.32</v>
      </c>
      <c r="BA13" s="0" t="n">
        <v>0.083</v>
      </c>
      <c r="BC13" s="0" t="n">
        <v>2</v>
      </c>
      <c r="BD13" s="0" t="n">
        <v>0.694</v>
      </c>
      <c r="BE13" s="0" t="n">
        <v>6.246</v>
      </c>
      <c r="BF13" s="0" t="n">
        <v>6.125</v>
      </c>
      <c r="BG13" s="0" t="n">
        <v>0.127</v>
      </c>
      <c r="BI13" s="0" t="n">
        <v>1.99</v>
      </c>
      <c r="BJ13" s="0" t="n">
        <v>0.694</v>
      </c>
      <c r="BK13" s="0" t="n">
        <v>7.257</v>
      </c>
      <c r="BL13" s="0" t="n">
        <v>7.232</v>
      </c>
      <c r="BM13" s="0" t="n">
        <v>0.026</v>
      </c>
      <c r="BO13" s="0" t="n">
        <v>2</v>
      </c>
      <c r="BP13" s="0" t="n">
        <v>5.737</v>
      </c>
      <c r="BQ13" s="0" t="n">
        <v>1.349</v>
      </c>
      <c r="BR13" s="0" t="n">
        <v>4.253</v>
      </c>
      <c r="BT13" s="0" t="n">
        <v>2</v>
      </c>
      <c r="BU13" s="0" t="n">
        <v>4.261</v>
      </c>
      <c r="BV13" s="0" t="n">
        <v>1.316</v>
      </c>
      <c r="BW13" s="0" t="n">
        <v>2.828</v>
      </c>
    </row>
    <row r="14" customFormat="false" ht="15" hidden="false" customHeight="false" outlineLevel="0" collapsed="false">
      <c r="A14" s="0" t="n">
        <v>2.2</v>
      </c>
      <c r="B14" s="0" t="n">
        <v>0</v>
      </c>
      <c r="C14" s="0" t="n">
        <v>4.151</v>
      </c>
      <c r="D14" s="0" t="n">
        <v>-1.226</v>
      </c>
      <c r="E14" s="0" t="n">
        <v>5.544</v>
      </c>
      <c r="G14" s="0" t="n">
        <v>2.2</v>
      </c>
      <c r="H14" s="0" t="n">
        <v>0.095</v>
      </c>
      <c r="I14" s="0" t="n">
        <v>10.032</v>
      </c>
      <c r="J14" s="0" t="n">
        <v>5.925</v>
      </c>
      <c r="K14" s="0" t="n">
        <v>4.303</v>
      </c>
      <c r="M14" s="0" t="n">
        <v>2.2</v>
      </c>
      <c r="N14" s="0" t="n">
        <v>0.108</v>
      </c>
      <c r="O14" s="0" t="n">
        <v>2.82</v>
      </c>
      <c r="P14" s="0" t="n">
        <v>-1.118</v>
      </c>
      <c r="Q14" s="0" t="n">
        <v>4.063</v>
      </c>
      <c r="S14" s="0" t="n">
        <v>2.2</v>
      </c>
      <c r="T14" s="0" t="n">
        <v>0.027</v>
      </c>
      <c r="U14" s="0" t="n">
        <v>5.735</v>
      </c>
      <c r="V14" s="0" t="n">
        <v>0.944</v>
      </c>
      <c r="W14" s="0" t="n">
        <v>4.979</v>
      </c>
      <c r="Y14" s="0" t="n">
        <v>2.19</v>
      </c>
      <c r="Z14" s="0" t="n">
        <v>0.027</v>
      </c>
      <c r="AA14" s="0" t="n">
        <v>1.324</v>
      </c>
      <c r="AB14" s="0" t="n">
        <v>-2.72</v>
      </c>
      <c r="AC14" s="0" t="n">
        <v>4.159</v>
      </c>
      <c r="AE14" s="0" t="n">
        <v>2.2</v>
      </c>
      <c r="AF14" s="0" t="n">
        <v>0.068</v>
      </c>
      <c r="AG14" s="0" t="n">
        <v>1.302</v>
      </c>
      <c r="AH14" s="0" t="n">
        <v>-1.953</v>
      </c>
      <c r="AI14" s="0" t="n">
        <v>3.354</v>
      </c>
      <c r="AK14" s="0" t="n">
        <v>2.2</v>
      </c>
      <c r="AL14" s="0" t="n">
        <v>0.068</v>
      </c>
      <c r="AM14" s="0" t="n">
        <v>1.293</v>
      </c>
      <c r="AN14" s="0" t="n">
        <v>-0.273</v>
      </c>
      <c r="AO14" s="0" t="n">
        <v>1.62</v>
      </c>
      <c r="AQ14" s="0" t="n">
        <v>2.22</v>
      </c>
      <c r="AR14" s="0" t="n">
        <v>0.667</v>
      </c>
      <c r="AS14" s="0" t="n">
        <v>6.354</v>
      </c>
      <c r="AT14" s="0" t="n">
        <v>6.118</v>
      </c>
      <c r="AU14" s="0" t="n">
        <v>0.248</v>
      </c>
      <c r="AW14" s="0" t="n">
        <v>2.2</v>
      </c>
      <c r="AX14" s="0" t="n">
        <v>0.735</v>
      </c>
      <c r="AY14" s="0" t="n">
        <v>5.578</v>
      </c>
      <c r="AZ14" s="0" t="n">
        <v>5.432</v>
      </c>
      <c r="BA14" s="0" t="n">
        <v>0.153</v>
      </c>
      <c r="BC14" s="0" t="n">
        <v>2.2</v>
      </c>
      <c r="BD14" s="0" t="n">
        <v>0.694</v>
      </c>
      <c r="BE14" s="0" t="n">
        <v>6.178</v>
      </c>
      <c r="BF14" s="0" t="n">
        <v>6.069</v>
      </c>
      <c r="BG14" s="0" t="n">
        <v>0.115</v>
      </c>
      <c r="BI14" s="0" t="n">
        <v>2.19</v>
      </c>
      <c r="BJ14" s="0" t="n">
        <v>0.68</v>
      </c>
      <c r="BK14" s="0" t="n">
        <v>6.163</v>
      </c>
      <c r="BL14" s="0" t="n">
        <v>6.141</v>
      </c>
      <c r="BM14" s="0" t="n">
        <v>0.024</v>
      </c>
      <c r="BO14" s="0" t="n">
        <v>2.19</v>
      </c>
      <c r="BP14" s="0" t="n">
        <v>5.763</v>
      </c>
      <c r="BQ14" s="0" t="n">
        <v>1.35</v>
      </c>
      <c r="BR14" s="0" t="n">
        <v>4.278</v>
      </c>
      <c r="BT14" s="0" t="n">
        <v>2.2</v>
      </c>
      <c r="BU14" s="0" t="n">
        <v>4.269</v>
      </c>
      <c r="BV14" s="0" t="n">
        <v>1.372</v>
      </c>
      <c r="BW14" s="0" t="n">
        <v>2.781</v>
      </c>
    </row>
    <row r="15" customFormat="false" ht="15" hidden="false" customHeight="false" outlineLevel="0" collapsed="false">
      <c r="A15" s="0" t="n">
        <v>2.39</v>
      </c>
      <c r="B15" s="0" t="n">
        <v>0</v>
      </c>
      <c r="C15" s="0" t="n">
        <v>6.893</v>
      </c>
      <c r="D15" s="0" t="n">
        <v>1.575</v>
      </c>
      <c r="E15" s="0" t="n">
        <v>5.511</v>
      </c>
      <c r="G15" s="0" t="n">
        <v>2.4</v>
      </c>
      <c r="H15" s="0" t="n">
        <v>0.245</v>
      </c>
      <c r="I15" s="0" t="n">
        <v>2.219</v>
      </c>
      <c r="J15" s="0" t="n">
        <v>-1.869</v>
      </c>
      <c r="K15" s="0" t="n">
        <v>4.214</v>
      </c>
      <c r="M15" s="0" t="n">
        <v>2.4</v>
      </c>
      <c r="N15" s="0" t="n">
        <v>0.068</v>
      </c>
      <c r="O15" s="0" t="n">
        <v>2.419</v>
      </c>
      <c r="P15" s="0" t="n">
        <v>-1.475</v>
      </c>
      <c r="Q15" s="0" t="n">
        <v>4.016</v>
      </c>
      <c r="S15" s="0" t="n">
        <v>2.4</v>
      </c>
      <c r="T15" s="0" t="n">
        <v>0.027</v>
      </c>
      <c r="U15" s="0" t="n">
        <v>6.176</v>
      </c>
      <c r="V15" s="0" t="n">
        <v>1.335</v>
      </c>
      <c r="W15" s="0" t="n">
        <v>5.03</v>
      </c>
      <c r="Y15" s="0" t="n">
        <v>2.39</v>
      </c>
      <c r="Z15" s="0" t="n">
        <v>0</v>
      </c>
      <c r="AA15" s="0" t="n">
        <v>1.341</v>
      </c>
      <c r="AB15" s="0" t="n">
        <v>-2.697</v>
      </c>
      <c r="AC15" s="0" t="n">
        <v>4.152</v>
      </c>
      <c r="AE15" s="0" t="n">
        <v>2.4</v>
      </c>
      <c r="AF15" s="0" t="n">
        <v>0.013</v>
      </c>
      <c r="AG15" s="0" t="n">
        <v>1.316</v>
      </c>
      <c r="AH15" s="0" t="n">
        <v>-1.951</v>
      </c>
      <c r="AI15" s="0" t="n">
        <v>3.369</v>
      </c>
      <c r="AK15" s="0" t="n">
        <v>2.4</v>
      </c>
      <c r="AL15" s="0" t="n">
        <v>0.013</v>
      </c>
      <c r="AM15" s="0" t="n">
        <v>1.3</v>
      </c>
      <c r="AN15" s="0" t="n">
        <v>-0.024</v>
      </c>
      <c r="AO15" s="0" t="n">
        <v>1.371</v>
      </c>
      <c r="AQ15" s="0" t="n">
        <v>2.42</v>
      </c>
      <c r="AR15" s="0" t="n">
        <v>0.694</v>
      </c>
      <c r="AS15" s="0" t="n">
        <v>6.259</v>
      </c>
      <c r="AT15" s="0" t="n">
        <v>6.013</v>
      </c>
      <c r="AU15" s="0" t="n">
        <v>0.258</v>
      </c>
      <c r="AW15" s="0" t="n">
        <v>2.4</v>
      </c>
      <c r="AX15" s="0" t="n">
        <v>0.598</v>
      </c>
      <c r="AY15" s="0" t="n">
        <v>5.047</v>
      </c>
      <c r="AZ15" s="0" t="n">
        <v>4.859</v>
      </c>
      <c r="BA15" s="0" t="n">
        <v>0.197</v>
      </c>
      <c r="BC15" s="0" t="n">
        <v>2.4</v>
      </c>
      <c r="BD15" s="0" t="n">
        <v>0.68</v>
      </c>
      <c r="BE15" s="0" t="n">
        <v>6.567</v>
      </c>
      <c r="BF15" s="0" t="n">
        <v>6.407</v>
      </c>
      <c r="BG15" s="0" t="n">
        <v>0.169</v>
      </c>
      <c r="BI15" s="0" t="n">
        <v>2.39</v>
      </c>
      <c r="BJ15" s="0" t="n">
        <v>0.696</v>
      </c>
      <c r="BK15" s="0" t="n">
        <v>2.158</v>
      </c>
      <c r="BL15" s="0" t="n">
        <v>2.127</v>
      </c>
      <c r="BM15" s="0" t="n">
        <v>0.032</v>
      </c>
      <c r="BO15" s="0" t="n">
        <v>2.4</v>
      </c>
      <c r="BP15" s="0" t="n">
        <v>5.771</v>
      </c>
      <c r="BQ15" s="0" t="n">
        <v>1.358</v>
      </c>
      <c r="BR15" s="0" t="n">
        <v>4.277</v>
      </c>
      <c r="BT15" s="0" t="n">
        <v>2.4</v>
      </c>
      <c r="BU15" s="0" t="n">
        <v>4.29</v>
      </c>
      <c r="BV15" s="0" t="n">
        <v>1.297</v>
      </c>
      <c r="BW15" s="0" t="n">
        <v>2.876</v>
      </c>
    </row>
    <row r="16" customFormat="false" ht="15" hidden="false" customHeight="false" outlineLevel="0" collapsed="false">
      <c r="A16" s="0" t="n">
        <v>2.59</v>
      </c>
      <c r="B16" s="0" t="n">
        <v>0</v>
      </c>
      <c r="C16" s="0" t="n">
        <v>6.593</v>
      </c>
      <c r="D16" s="0" t="n">
        <v>1.288</v>
      </c>
      <c r="E16" s="0" t="n">
        <v>5.507</v>
      </c>
      <c r="G16" s="0" t="n">
        <v>2.6</v>
      </c>
      <c r="H16" s="0" t="n">
        <v>0.19</v>
      </c>
      <c r="I16" s="0" t="n">
        <v>1.6</v>
      </c>
      <c r="J16" s="0" t="n">
        <v>-2.469</v>
      </c>
      <c r="K16" s="0" t="n">
        <v>4.186</v>
      </c>
      <c r="M16" s="0" t="n">
        <v>2.6</v>
      </c>
      <c r="N16" s="0" t="n">
        <v>0</v>
      </c>
      <c r="O16" s="0" t="n">
        <v>3.558</v>
      </c>
      <c r="P16" s="0" t="n">
        <v>-0.332</v>
      </c>
      <c r="Q16" s="0" t="n">
        <v>4.023</v>
      </c>
      <c r="S16" s="0" t="n">
        <v>2.6</v>
      </c>
      <c r="T16" s="0" t="n">
        <v>0.118</v>
      </c>
      <c r="U16" s="0" t="n">
        <v>2.986</v>
      </c>
      <c r="V16" s="0" t="n">
        <v>-1.856</v>
      </c>
      <c r="W16" s="0" t="n">
        <v>4.994</v>
      </c>
      <c r="AQ16" s="0" t="n">
        <v>2.62</v>
      </c>
      <c r="AR16" s="0" t="n">
        <v>0.53</v>
      </c>
      <c r="AS16" s="0" t="n">
        <v>5.463</v>
      </c>
      <c r="AT16" s="0" t="n">
        <v>5.221</v>
      </c>
      <c r="AU16" s="0" t="n">
        <v>0.255</v>
      </c>
      <c r="AW16" s="0" t="n">
        <v>2.6</v>
      </c>
      <c r="AX16" s="0" t="n">
        <v>0.49</v>
      </c>
      <c r="AY16" s="0" t="n">
        <v>5.737</v>
      </c>
      <c r="AZ16" s="0" t="n">
        <v>5.566</v>
      </c>
      <c r="BA16" s="0" t="n">
        <v>0.18</v>
      </c>
      <c r="BC16" s="0" t="n">
        <v>2.63</v>
      </c>
      <c r="BD16" s="0" t="n">
        <v>0.585</v>
      </c>
      <c r="BE16" s="0" t="n">
        <v>2.301</v>
      </c>
      <c r="BF16" s="0" t="n">
        <v>2.163</v>
      </c>
      <c r="BG16" s="0" t="n">
        <v>0.143</v>
      </c>
      <c r="BI16" s="0" t="n">
        <v>2.59</v>
      </c>
      <c r="BJ16" s="0" t="n">
        <v>0.517</v>
      </c>
      <c r="BK16" s="0" t="n">
        <v>1.309</v>
      </c>
      <c r="BL16" s="0" t="n">
        <v>1.284</v>
      </c>
      <c r="BM16" s="0" t="n">
        <v>0.026</v>
      </c>
      <c r="BO16" s="0" t="n">
        <v>2.6</v>
      </c>
      <c r="BP16" s="0" t="n">
        <v>5.776</v>
      </c>
      <c r="BQ16" s="0" t="n">
        <v>1.399</v>
      </c>
      <c r="BR16" s="0" t="n">
        <v>4.241</v>
      </c>
      <c r="BT16" s="0" t="n">
        <v>2.6</v>
      </c>
      <c r="BU16" s="0" t="n">
        <v>4.306</v>
      </c>
      <c r="BV16" s="0" t="n">
        <v>1.312</v>
      </c>
      <c r="BW16" s="0" t="n">
        <v>2.876</v>
      </c>
    </row>
    <row r="17" customFormat="false" ht="15" hidden="false" customHeight="false" outlineLevel="0" collapsed="false">
      <c r="A17" s="0" t="n">
        <v>2.79</v>
      </c>
      <c r="B17" s="0" t="n">
        <v>0.027</v>
      </c>
      <c r="C17" s="0" t="n">
        <v>6.242</v>
      </c>
      <c r="D17" s="0" t="n">
        <v>0.981</v>
      </c>
      <c r="E17" s="0" t="n">
        <v>5.461</v>
      </c>
      <c r="G17" s="0" t="n">
        <v>2.8</v>
      </c>
      <c r="H17" s="0" t="n">
        <v>0.19</v>
      </c>
      <c r="I17" s="0" t="n">
        <v>1.311</v>
      </c>
      <c r="J17" s="0" t="n">
        <v>-2.66</v>
      </c>
      <c r="K17" s="0" t="n">
        <v>4.085</v>
      </c>
      <c r="M17" s="0" t="n">
        <v>2.8</v>
      </c>
      <c r="N17" s="0" t="n">
        <v>0.04</v>
      </c>
      <c r="O17" s="0" t="n">
        <v>3.336</v>
      </c>
      <c r="P17" s="0" t="n">
        <v>-0.546</v>
      </c>
      <c r="Q17" s="0" t="n">
        <v>4.013</v>
      </c>
      <c r="S17" s="0" t="n">
        <v>2.8</v>
      </c>
      <c r="T17" s="0" t="n">
        <v>0.118</v>
      </c>
      <c r="U17" s="0" t="n">
        <v>2.673</v>
      </c>
      <c r="V17" s="0" t="n">
        <v>-2.157</v>
      </c>
      <c r="W17" s="0" t="n">
        <v>4.973</v>
      </c>
      <c r="AQ17" s="0" t="n">
        <v>2.82</v>
      </c>
      <c r="AR17" s="0" t="n">
        <v>0.367</v>
      </c>
      <c r="AS17" s="0" t="n">
        <v>5.587</v>
      </c>
      <c r="AT17" s="0" t="n">
        <v>2.003</v>
      </c>
      <c r="AU17" s="0" t="n">
        <v>3.732</v>
      </c>
      <c r="AW17" s="0" t="n">
        <v>2.8</v>
      </c>
      <c r="AX17" s="0" t="n">
        <v>0.53</v>
      </c>
      <c r="AY17" s="0" t="n">
        <v>2.293</v>
      </c>
      <c r="AZ17" s="0" t="n">
        <v>2.165</v>
      </c>
      <c r="BA17" s="0" t="n">
        <v>0.134</v>
      </c>
      <c r="BC17" s="0" t="n">
        <v>2.81</v>
      </c>
      <c r="BD17" s="0" t="n">
        <v>0.653</v>
      </c>
      <c r="BE17" s="0" t="n">
        <v>1.316</v>
      </c>
      <c r="BF17" s="0" t="n">
        <v>1.249</v>
      </c>
      <c r="BG17" s="0" t="n">
        <v>0.069</v>
      </c>
      <c r="BI17" s="0" t="n">
        <v>2.79</v>
      </c>
      <c r="BJ17" s="0" t="n">
        <v>0.517</v>
      </c>
      <c r="BK17" s="0" t="n">
        <v>1.31</v>
      </c>
      <c r="BL17" s="0" t="n">
        <v>1.285</v>
      </c>
      <c r="BM17" s="0" t="n">
        <v>0.026</v>
      </c>
      <c r="BO17" s="0" t="n">
        <v>2.79</v>
      </c>
      <c r="BP17" s="0" t="n">
        <v>5.792</v>
      </c>
      <c r="BQ17" s="0" t="n">
        <v>1.343</v>
      </c>
      <c r="BR17" s="0" t="n">
        <v>4.314</v>
      </c>
      <c r="BT17" s="0" t="n">
        <v>2.8</v>
      </c>
      <c r="BU17" s="0" t="n">
        <v>4.329</v>
      </c>
      <c r="BV17" s="0" t="n">
        <v>1.311</v>
      </c>
      <c r="BW17" s="0" t="n">
        <v>2.901</v>
      </c>
    </row>
    <row r="18" customFormat="false" ht="15" hidden="false" customHeight="false" outlineLevel="0" collapsed="false">
      <c r="A18" s="0" t="n">
        <v>2.99</v>
      </c>
      <c r="B18" s="0" t="n">
        <v>0</v>
      </c>
      <c r="C18" s="0" t="n">
        <v>5.751</v>
      </c>
      <c r="D18" s="0" t="n">
        <v>0.521</v>
      </c>
      <c r="E18" s="0" t="n">
        <v>5.416</v>
      </c>
      <c r="G18" s="0" t="n">
        <v>3</v>
      </c>
      <c r="H18" s="0" t="n">
        <v>0.081</v>
      </c>
      <c r="I18" s="0" t="n">
        <v>1.319</v>
      </c>
      <c r="J18" s="0" t="n">
        <v>-2.624</v>
      </c>
      <c r="K18" s="0" t="n">
        <v>4.056</v>
      </c>
      <c r="M18" s="0" t="n">
        <v>3</v>
      </c>
      <c r="N18" s="0" t="n">
        <v>0.027</v>
      </c>
      <c r="O18" s="0" t="n">
        <v>3.42</v>
      </c>
      <c r="P18" s="0" t="n">
        <v>-0.439</v>
      </c>
      <c r="Q18" s="0" t="n">
        <v>3.989</v>
      </c>
      <c r="S18" s="0" t="n">
        <v>3.01</v>
      </c>
      <c r="T18" s="0" t="n">
        <v>0.027</v>
      </c>
      <c r="U18" s="0" t="n">
        <v>2.394</v>
      </c>
      <c r="V18" s="0" t="n">
        <v>-2.373</v>
      </c>
      <c r="W18" s="0" t="n">
        <v>4.905</v>
      </c>
      <c r="AQ18" s="0" t="n">
        <v>3.02</v>
      </c>
      <c r="AR18" s="0" t="n">
        <v>0.367</v>
      </c>
      <c r="AS18" s="0" t="n">
        <v>6.006</v>
      </c>
      <c r="AT18" s="0" t="n">
        <v>4.361</v>
      </c>
      <c r="AU18" s="0" t="n">
        <v>1.722</v>
      </c>
      <c r="AW18" s="0" t="n">
        <v>3</v>
      </c>
      <c r="AX18" s="0" t="n">
        <v>0.381</v>
      </c>
      <c r="AY18" s="0" t="n">
        <v>1.309</v>
      </c>
      <c r="AZ18" s="0" t="n">
        <v>1.168</v>
      </c>
      <c r="BA18" s="0" t="n">
        <v>0.147</v>
      </c>
      <c r="BC18" s="0" t="n">
        <v>3.01</v>
      </c>
      <c r="BD18" s="0" t="n">
        <v>0.367</v>
      </c>
      <c r="BE18" s="0" t="n">
        <v>1.377</v>
      </c>
      <c r="BF18" s="0" t="n">
        <v>1.332</v>
      </c>
      <c r="BG18" s="0" t="n">
        <v>0.047</v>
      </c>
      <c r="BI18" s="0" t="n">
        <v>2.99</v>
      </c>
      <c r="BJ18" s="0" t="n">
        <v>0.231</v>
      </c>
      <c r="BK18" s="0" t="n">
        <v>1.311</v>
      </c>
      <c r="BL18" s="0" t="n">
        <v>1.285</v>
      </c>
      <c r="BM18" s="0" t="n">
        <v>0.027</v>
      </c>
      <c r="BO18" s="0" t="n">
        <v>3</v>
      </c>
      <c r="BP18" s="0" t="n">
        <v>5.799</v>
      </c>
      <c r="BQ18" s="0" t="n">
        <v>1.361</v>
      </c>
      <c r="BR18" s="0" t="n">
        <v>4.302</v>
      </c>
      <c r="BT18" s="0" t="n">
        <v>3</v>
      </c>
      <c r="BU18" s="0" t="n">
        <v>4.343</v>
      </c>
      <c r="BV18" s="0" t="n">
        <v>1.325</v>
      </c>
      <c r="BW18" s="0" t="n">
        <v>2.901</v>
      </c>
    </row>
    <row r="19" customFormat="false" ht="15" hidden="false" customHeight="false" outlineLevel="0" collapsed="false">
      <c r="A19" s="0" t="n">
        <v>3.19</v>
      </c>
      <c r="B19" s="0" t="n">
        <v>0</v>
      </c>
      <c r="C19" s="0" t="n">
        <v>6.55</v>
      </c>
      <c r="D19" s="0" t="n">
        <v>1.444</v>
      </c>
      <c r="E19" s="0" t="n">
        <v>5.292</v>
      </c>
      <c r="G19" s="0" t="n">
        <v>3.2</v>
      </c>
      <c r="H19" s="0" t="n">
        <v>0</v>
      </c>
      <c r="I19" s="0" t="n">
        <v>1.317</v>
      </c>
      <c r="J19" s="0" t="n">
        <v>-2.589</v>
      </c>
      <c r="K19" s="0" t="n">
        <v>4.017</v>
      </c>
      <c r="M19" s="0" t="n">
        <v>3.2</v>
      </c>
      <c r="N19" s="0" t="n">
        <v>0.027</v>
      </c>
      <c r="O19" s="0" t="n">
        <v>3.292</v>
      </c>
      <c r="P19" s="0" t="n">
        <v>-0.558</v>
      </c>
      <c r="Q19" s="0" t="n">
        <v>3.979</v>
      </c>
      <c r="S19" s="0" t="n">
        <v>3.21</v>
      </c>
      <c r="T19" s="0" t="n">
        <v>0</v>
      </c>
      <c r="U19" s="0" t="n">
        <v>2.193</v>
      </c>
      <c r="V19" s="0" t="n">
        <v>-2.553</v>
      </c>
      <c r="W19" s="0" t="n">
        <v>4.881</v>
      </c>
      <c r="AQ19" s="0" t="n">
        <v>3.22</v>
      </c>
      <c r="AR19" s="0" t="n">
        <v>0.326</v>
      </c>
      <c r="AS19" s="0" t="n">
        <v>6.671</v>
      </c>
      <c r="AT19" s="0" t="n">
        <v>5.42</v>
      </c>
      <c r="AU19" s="0" t="n">
        <v>1.313</v>
      </c>
      <c r="AW19" s="0" t="n">
        <v>3.2</v>
      </c>
      <c r="AX19" s="0" t="n">
        <v>0.381</v>
      </c>
      <c r="AY19" s="0" t="n">
        <v>1.557</v>
      </c>
      <c r="AZ19" s="0" t="n">
        <v>1.404</v>
      </c>
      <c r="BA19" s="0" t="n">
        <v>0.159</v>
      </c>
      <c r="BC19" s="0" t="n">
        <v>3.22</v>
      </c>
      <c r="BD19" s="0" t="n">
        <v>0.367</v>
      </c>
      <c r="BE19" s="0" t="n">
        <v>1.302</v>
      </c>
      <c r="BF19" s="0" t="n">
        <v>1.262</v>
      </c>
      <c r="BG19" s="0" t="n">
        <v>0.042</v>
      </c>
      <c r="BI19" s="0" t="n">
        <v>3.19</v>
      </c>
      <c r="BJ19" s="0" t="n">
        <v>0.04</v>
      </c>
      <c r="BK19" s="0" t="n">
        <v>1.321</v>
      </c>
      <c r="BL19" s="0" t="n">
        <v>1.297</v>
      </c>
      <c r="BM19" s="0" t="n">
        <v>0.025</v>
      </c>
      <c r="BO19" s="0" t="n">
        <v>3.19</v>
      </c>
      <c r="BP19" s="0" t="n">
        <v>5.797</v>
      </c>
      <c r="BQ19" s="0" t="n">
        <v>1.347</v>
      </c>
      <c r="BR19" s="0" t="n">
        <v>4.312</v>
      </c>
      <c r="BT19" s="0" t="n">
        <v>3.2</v>
      </c>
      <c r="BU19" s="0" t="n">
        <v>4.359</v>
      </c>
      <c r="BV19" s="0" t="n">
        <v>1.328</v>
      </c>
      <c r="BW19" s="0" t="n">
        <v>2.912</v>
      </c>
    </row>
    <row r="20" customFormat="false" ht="15" hidden="false" customHeight="false" outlineLevel="0" collapsed="false">
      <c r="A20" s="0" t="n">
        <v>3.39</v>
      </c>
      <c r="B20" s="0" t="n">
        <v>0</v>
      </c>
      <c r="C20" s="0" t="n">
        <v>5.421</v>
      </c>
      <c r="D20" s="0" t="n">
        <v>0.307</v>
      </c>
      <c r="E20" s="0" t="n">
        <v>5.306</v>
      </c>
      <c r="M20" s="0" t="n">
        <v>3.4</v>
      </c>
      <c r="N20" s="0" t="n">
        <v>0.04</v>
      </c>
      <c r="O20" s="0" t="n">
        <v>3.484</v>
      </c>
      <c r="P20" s="0" t="n">
        <v>-0.356</v>
      </c>
      <c r="Q20" s="0" t="n">
        <v>3.971</v>
      </c>
      <c r="S20" s="0" t="n">
        <v>3.41</v>
      </c>
      <c r="T20" s="0" t="n">
        <v>0.027</v>
      </c>
      <c r="U20" s="0" t="n">
        <v>1.308</v>
      </c>
      <c r="V20" s="0" t="n">
        <v>-3.419</v>
      </c>
      <c r="W20" s="0" t="n">
        <v>4.852</v>
      </c>
      <c r="AQ20" s="0" t="n">
        <v>3.42</v>
      </c>
      <c r="AR20" s="0" t="n">
        <v>0.353</v>
      </c>
      <c r="AS20" s="0" t="n">
        <v>5.793</v>
      </c>
      <c r="AT20" s="0" t="n">
        <v>5.177</v>
      </c>
      <c r="AU20" s="0" t="n">
        <v>0.645</v>
      </c>
      <c r="AW20" s="0" t="n">
        <v>3.4</v>
      </c>
      <c r="AX20" s="0" t="n">
        <v>0.136</v>
      </c>
      <c r="AY20" s="0" t="n">
        <v>1.329</v>
      </c>
      <c r="AZ20" s="0" t="n">
        <v>1.18</v>
      </c>
      <c r="BA20" s="0" t="n">
        <v>0.155</v>
      </c>
      <c r="BC20" s="0" t="n">
        <v>3.42</v>
      </c>
      <c r="BD20" s="0" t="n">
        <v>0.136</v>
      </c>
      <c r="BE20" s="0" t="n">
        <v>1.31</v>
      </c>
      <c r="BF20" s="0" t="n">
        <v>1.262</v>
      </c>
      <c r="BG20" s="0" t="n">
        <v>0.05</v>
      </c>
      <c r="BI20" s="0" t="n">
        <v>3.39</v>
      </c>
      <c r="BJ20" s="0" t="n">
        <v>0</v>
      </c>
      <c r="BK20" s="0" t="n">
        <v>1.312</v>
      </c>
      <c r="BL20" s="0" t="n">
        <v>1.285</v>
      </c>
      <c r="BM20" s="0" t="n">
        <v>0.028</v>
      </c>
      <c r="BO20" s="0" t="n">
        <v>3.4</v>
      </c>
      <c r="BP20" s="0" t="n">
        <v>5.803</v>
      </c>
      <c r="BQ20" s="0" t="n">
        <v>1.341</v>
      </c>
      <c r="BR20" s="0" t="n">
        <v>4.326</v>
      </c>
      <c r="BT20" s="0" t="n">
        <v>3.4</v>
      </c>
      <c r="BU20" s="0" t="n">
        <v>4.359</v>
      </c>
      <c r="BV20" s="0" t="n">
        <v>1.316</v>
      </c>
      <c r="BW20" s="0" t="n">
        <v>2.924</v>
      </c>
    </row>
    <row r="21" customFormat="false" ht="15" hidden="false" customHeight="false" outlineLevel="0" collapsed="false">
      <c r="A21" s="0" t="n">
        <v>3.6</v>
      </c>
      <c r="B21" s="0" t="n">
        <v>0</v>
      </c>
      <c r="C21" s="0" t="n">
        <v>3.032</v>
      </c>
      <c r="D21" s="0" t="n">
        <v>-2.037</v>
      </c>
      <c r="E21" s="0" t="n">
        <v>5.22</v>
      </c>
      <c r="M21" s="0" t="n">
        <v>3.6</v>
      </c>
      <c r="N21" s="0" t="n">
        <v>0.068</v>
      </c>
      <c r="O21" s="0" t="n">
        <v>5.239</v>
      </c>
      <c r="P21" s="0" t="n">
        <v>1.383</v>
      </c>
      <c r="Q21" s="0" t="n">
        <v>4.001</v>
      </c>
      <c r="S21" s="0" t="n">
        <v>3.61</v>
      </c>
      <c r="T21" s="0" t="n">
        <v>0.013</v>
      </c>
      <c r="U21" s="0" t="n">
        <v>1.329</v>
      </c>
      <c r="V21" s="0" t="n">
        <v>-3.383</v>
      </c>
      <c r="W21" s="0" t="n">
        <v>4.836</v>
      </c>
      <c r="AQ21" s="0" t="n">
        <v>3.62</v>
      </c>
      <c r="AR21" s="0" t="n">
        <v>0.49</v>
      </c>
      <c r="AS21" s="0" t="n">
        <v>5.793</v>
      </c>
      <c r="AT21" s="0" t="n">
        <v>5.614</v>
      </c>
      <c r="AU21" s="0" t="n">
        <v>0.188</v>
      </c>
      <c r="AW21" s="0" t="n">
        <v>3.6</v>
      </c>
      <c r="AX21" s="0" t="n">
        <v>0.04</v>
      </c>
      <c r="AY21" s="0" t="n">
        <v>1.32</v>
      </c>
      <c r="AZ21" s="0" t="n">
        <v>1.168</v>
      </c>
      <c r="BA21" s="0" t="n">
        <v>0.158</v>
      </c>
      <c r="BO21" s="0" t="n">
        <v>3.6</v>
      </c>
      <c r="BP21" s="0" t="n">
        <v>5.804</v>
      </c>
      <c r="BQ21" s="0" t="n">
        <v>1.354</v>
      </c>
      <c r="BR21" s="0" t="n">
        <v>4.314</v>
      </c>
      <c r="BT21" s="0" t="n">
        <v>3.6</v>
      </c>
      <c r="BU21" s="0" t="n">
        <v>4.342</v>
      </c>
      <c r="BV21" s="0" t="n">
        <v>1.311</v>
      </c>
      <c r="BW21" s="0" t="n">
        <v>2.912</v>
      </c>
    </row>
    <row r="22" customFormat="false" ht="15" hidden="false" customHeight="false" outlineLevel="0" collapsed="false">
      <c r="A22" s="0" t="n">
        <v>3.8</v>
      </c>
      <c r="B22" s="0" t="n">
        <v>0</v>
      </c>
      <c r="C22" s="0" t="n">
        <v>2.843</v>
      </c>
      <c r="D22" s="0" t="n">
        <v>-2.205</v>
      </c>
      <c r="E22" s="0" t="n">
        <v>5.197</v>
      </c>
      <c r="M22" s="0" t="n">
        <v>3.8</v>
      </c>
      <c r="N22" s="0" t="n">
        <v>0.108</v>
      </c>
      <c r="O22" s="0" t="n">
        <v>4.778</v>
      </c>
      <c r="P22" s="0" t="n">
        <v>0.888</v>
      </c>
      <c r="Q22" s="0" t="n">
        <v>4.032</v>
      </c>
      <c r="AQ22" s="0" t="n">
        <v>3.82</v>
      </c>
      <c r="AR22" s="0" t="n">
        <v>0.68</v>
      </c>
      <c r="AS22" s="0" t="n">
        <v>6.211</v>
      </c>
      <c r="AT22" s="0" t="n">
        <v>6.057</v>
      </c>
      <c r="AU22" s="0" t="n">
        <v>0.162</v>
      </c>
      <c r="AW22" s="0" t="n">
        <v>3.8</v>
      </c>
      <c r="AX22" s="0" t="n">
        <v>0</v>
      </c>
      <c r="AY22" s="0" t="n">
        <v>1.317</v>
      </c>
      <c r="AZ22" s="0" t="n">
        <v>1.168</v>
      </c>
      <c r="BA22" s="0" t="n">
        <v>0.155</v>
      </c>
      <c r="BO22" s="0" t="n">
        <v>3.79</v>
      </c>
      <c r="BP22" s="0" t="n">
        <v>5.799</v>
      </c>
      <c r="BQ22" s="0" t="n">
        <v>1.35</v>
      </c>
      <c r="BR22" s="0" t="n">
        <v>4.314</v>
      </c>
      <c r="BT22" s="0" t="n">
        <v>3.8</v>
      </c>
      <c r="BU22" s="0" t="n">
        <v>4.317</v>
      </c>
      <c r="BV22" s="0" t="n">
        <v>1.323</v>
      </c>
      <c r="BW22" s="0" t="n">
        <v>2.877</v>
      </c>
    </row>
    <row r="23" customFormat="false" ht="15" hidden="false" customHeight="false" outlineLevel="0" collapsed="false">
      <c r="A23" s="0" t="n">
        <v>4</v>
      </c>
      <c r="B23" s="0" t="n">
        <v>0</v>
      </c>
      <c r="C23" s="0" t="n">
        <v>2.625</v>
      </c>
      <c r="D23" s="0" t="n">
        <v>-2.374</v>
      </c>
      <c r="E23" s="0" t="n">
        <v>5.142</v>
      </c>
      <c r="M23" s="0" t="n">
        <v>4</v>
      </c>
      <c r="N23" s="0" t="n">
        <v>0.081</v>
      </c>
      <c r="O23" s="0" t="n">
        <v>4.614</v>
      </c>
      <c r="P23" s="0" t="n">
        <v>0.758</v>
      </c>
      <c r="Q23" s="0" t="n">
        <v>3.998</v>
      </c>
      <c r="AQ23" s="0" t="n">
        <v>4.02</v>
      </c>
      <c r="AR23" s="0" t="n">
        <v>0.68</v>
      </c>
      <c r="AS23" s="0" t="n">
        <v>5.419</v>
      </c>
      <c r="AT23" s="0" t="n">
        <v>5.31</v>
      </c>
      <c r="AU23" s="0" t="n">
        <v>0.114</v>
      </c>
      <c r="BO23" s="0" t="n">
        <v>3.99</v>
      </c>
      <c r="BP23" s="0" t="n">
        <v>5.792</v>
      </c>
      <c r="BQ23" s="0" t="n">
        <v>1.354</v>
      </c>
      <c r="BR23" s="0" t="n">
        <v>4.301</v>
      </c>
      <c r="BT23" s="0" t="n">
        <v>4</v>
      </c>
      <c r="BU23" s="0" t="n">
        <v>4.286</v>
      </c>
      <c r="BV23" s="0" t="n">
        <v>1.317</v>
      </c>
      <c r="BW23" s="0" t="n">
        <v>2.852</v>
      </c>
    </row>
    <row r="24" customFormat="false" ht="15" hidden="false" customHeight="false" outlineLevel="0" collapsed="false">
      <c r="A24" s="0" t="n">
        <v>4.2</v>
      </c>
      <c r="B24" s="0" t="n">
        <v>0</v>
      </c>
      <c r="C24" s="0" t="n">
        <v>2.289</v>
      </c>
      <c r="D24" s="0" t="n">
        <v>-2.734</v>
      </c>
      <c r="E24" s="0" t="n">
        <v>5.163</v>
      </c>
      <c r="M24" s="0" t="n">
        <v>4.2</v>
      </c>
      <c r="N24" s="0" t="n">
        <v>0.081</v>
      </c>
      <c r="O24" s="0" t="n">
        <v>8.155</v>
      </c>
      <c r="P24" s="0" t="n">
        <v>4.296</v>
      </c>
      <c r="Q24" s="0" t="n">
        <v>4.034</v>
      </c>
      <c r="AQ24" s="0" t="n">
        <v>4.22</v>
      </c>
      <c r="AR24" s="0" t="n">
        <v>0.721</v>
      </c>
      <c r="AS24" s="0" t="n">
        <v>6.149</v>
      </c>
      <c r="AT24" s="0" t="n">
        <v>6.082</v>
      </c>
      <c r="AU24" s="0" t="n">
        <v>0.07</v>
      </c>
      <c r="BO24" s="0" t="n">
        <v>4.19</v>
      </c>
      <c r="BP24" s="0" t="n">
        <v>5.786</v>
      </c>
      <c r="BQ24" s="0" t="n">
        <v>1.349</v>
      </c>
      <c r="BR24" s="0" t="n">
        <v>4.302</v>
      </c>
      <c r="BT24" s="0" t="n">
        <v>4.2</v>
      </c>
      <c r="BU24" s="0" t="n">
        <v>4.257</v>
      </c>
      <c r="BV24" s="0" t="n">
        <v>1.312</v>
      </c>
      <c r="BW24" s="0" t="n">
        <v>2.828</v>
      </c>
    </row>
    <row r="25" customFormat="false" ht="15" hidden="false" customHeight="false" outlineLevel="0" collapsed="false">
      <c r="A25" s="0" t="n">
        <v>4.4</v>
      </c>
      <c r="B25" s="0" t="n">
        <v>0</v>
      </c>
      <c r="C25" s="0" t="n">
        <v>2.131</v>
      </c>
      <c r="D25" s="0" t="n">
        <v>-2.877</v>
      </c>
      <c r="E25" s="0" t="n">
        <v>5.147</v>
      </c>
      <c r="M25" s="0" t="n">
        <v>4.4</v>
      </c>
      <c r="N25" s="0" t="n">
        <v>0.136</v>
      </c>
      <c r="O25" s="0" t="n">
        <v>7.508</v>
      </c>
      <c r="P25" s="0" t="n">
        <v>3.528</v>
      </c>
      <c r="Q25" s="0" t="n">
        <v>4.153</v>
      </c>
      <c r="AQ25" s="0" t="n">
        <v>4.42</v>
      </c>
      <c r="AR25" s="0" t="n">
        <v>0.68</v>
      </c>
      <c r="AS25" s="0" t="n">
        <v>6.15</v>
      </c>
      <c r="AT25" s="0" t="n">
        <v>6.075</v>
      </c>
      <c r="AU25" s="0" t="n">
        <v>0.079</v>
      </c>
      <c r="BO25" s="0" t="n">
        <v>4.39</v>
      </c>
      <c r="BP25" s="0" t="n">
        <v>5.789</v>
      </c>
      <c r="BQ25" s="0" t="n">
        <v>1.352</v>
      </c>
      <c r="BR25" s="0" t="n">
        <v>4.302</v>
      </c>
      <c r="BT25" s="0" t="n">
        <v>4.4</v>
      </c>
      <c r="BU25" s="0" t="n">
        <v>4.225</v>
      </c>
      <c r="BV25" s="0" t="n">
        <v>1.305</v>
      </c>
      <c r="BW25" s="0" t="n">
        <v>2.805</v>
      </c>
    </row>
    <row r="26" customFormat="false" ht="15" hidden="false" customHeight="false" outlineLevel="0" collapsed="false">
      <c r="A26" s="0" t="n">
        <v>4.6</v>
      </c>
      <c r="B26" s="0" t="n">
        <v>0</v>
      </c>
      <c r="C26" s="0" t="n">
        <v>2.179</v>
      </c>
      <c r="D26" s="0" t="n">
        <v>-2.843</v>
      </c>
      <c r="E26" s="0" t="n">
        <v>5.159</v>
      </c>
      <c r="M26" s="0" t="n">
        <v>4.6</v>
      </c>
      <c r="N26" s="0" t="n">
        <v>0.081</v>
      </c>
      <c r="O26" s="0" t="n">
        <v>6.586</v>
      </c>
      <c r="P26" s="0" t="n">
        <v>2.497</v>
      </c>
      <c r="Q26" s="0" t="n">
        <v>4.26</v>
      </c>
      <c r="AQ26" s="0" t="n">
        <v>4.62</v>
      </c>
      <c r="AR26" s="0" t="n">
        <v>0.707</v>
      </c>
      <c r="AS26" s="0" t="n">
        <v>5.743</v>
      </c>
      <c r="AT26" s="0" t="n">
        <v>5.692</v>
      </c>
      <c r="AU26" s="0" t="n">
        <v>0.054</v>
      </c>
      <c r="BT26" s="0" t="n">
        <v>4.6</v>
      </c>
      <c r="BU26" s="0" t="n">
        <v>4.218</v>
      </c>
      <c r="BV26" s="0" t="n">
        <v>1.322</v>
      </c>
      <c r="BW26" s="0" t="n">
        <v>2.78</v>
      </c>
    </row>
    <row r="27" customFormat="false" ht="15" hidden="false" customHeight="false" outlineLevel="0" collapsed="false">
      <c r="A27" s="0" t="n">
        <v>4.8</v>
      </c>
      <c r="B27" s="0" t="n">
        <v>0</v>
      </c>
      <c r="C27" s="0" t="n">
        <v>2.187</v>
      </c>
      <c r="D27" s="0" t="n">
        <v>-2.831</v>
      </c>
      <c r="E27" s="0" t="n">
        <v>5.155</v>
      </c>
      <c r="M27" s="0" t="n">
        <v>4.8</v>
      </c>
      <c r="N27" s="0" t="n">
        <v>0.04</v>
      </c>
      <c r="O27" s="0" t="n">
        <v>7.078</v>
      </c>
      <c r="P27" s="0" t="n">
        <v>2.988</v>
      </c>
      <c r="Q27" s="0" t="n">
        <v>4.266</v>
      </c>
      <c r="AQ27" s="0" t="n">
        <v>4.82</v>
      </c>
      <c r="AR27" s="0" t="n">
        <v>0.612</v>
      </c>
      <c r="AS27" s="0" t="n">
        <v>4.85</v>
      </c>
      <c r="AT27" s="0" t="n">
        <v>4.8</v>
      </c>
      <c r="AU27" s="0" t="n">
        <v>0.053</v>
      </c>
      <c r="BT27" s="0" t="n">
        <v>4.8</v>
      </c>
      <c r="BU27" s="0" t="n">
        <v>4.198</v>
      </c>
      <c r="BV27" s="0" t="n">
        <v>1.54</v>
      </c>
      <c r="BW27" s="0" t="n">
        <v>2.54</v>
      </c>
    </row>
    <row r="28" customFormat="false" ht="15" hidden="false" customHeight="false" outlineLevel="0" collapsed="false">
      <c r="A28" s="0" t="n">
        <v>5</v>
      </c>
      <c r="B28" s="0" t="n">
        <v>0</v>
      </c>
      <c r="C28" s="0" t="n">
        <v>2.174</v>
      </c>
      <c r="D28" s="0" t="n">
        <v>-2.853</v>
      </c>
      <c r="E28" s="0" t="n">
        <v>5.167</v>
      </c>
      <c r="M28" s="0" t="n">
        <v>5</v>
      </c>
      <c r="N28" s="0" t="n">
        <v>0.068</v>
      </c>
      <c r="O28" s="0" t="n">
        <v>7.227</v>
      </c>
      <c r="P28" s="0" t="n">
        <v>3.083</v>
      </c>
      <c r="Q28" s="0" t="n">
        <v>4.321</v>
      </c>
      <c r="AQ28" s="0" t="n">
        <v>5.02</v>
      </c>
      <c r="AR28" s="0" t="n">
        <v>0.612</v>
      </c>
      <c r="AS28" s="0" t="n">
        <v>5.983</v>
      </c>
      <c r="AT28" s="0" t="n">
        <v>5.925</v>
      </c>
      <c r="AU28" s="0" t="n">
        <v>0.061</v>
      </c>
      <c r="BT28" s="0" t="n">
        <v>5</v>
      </c>
      <c r="BU28" s="0" t="n">
        <v>4.205</v>
      </c>
      <c r="BV28" s="0" t="n">
        <v>1.321</v>
      </c>
      <c r="BW28" s="0" t="n">
        <v>2.768</v>
      </c>
    </row>
    <row r="29" customFormat="false" ht="15" hidden="false" customHeight="false" outlineLevel="0" collapsed="false">
      <c r="A29" s="0" t="n">
        <v>5.2</v>
      </c>
      <c r="B29" s="0" t="n">
        <v>0</v>
      </c>
      <c r="C29" s="0" t="n">
        <v>2.175</v>
      </c>
      <c r="D29" s="0" t="n">
        <v>-2.854</v>
      </c>
      <c r="E29" s="0" t="n">
        <v>5.168</v>
      </c>
      <c r="M29" s="0" t="n">
        <v>5.2</v>
      </c>
      <c r="N29" s="0" t="n">
        <v>0.068</v>
      </c>
      <c r="O29" s="0" t="n">
        <v>6.802</v>
      </c>
      <c r="P29" s="0" t="n">
        <v>2.614</v>
      </c>
      <c r="Q29" s="0" t="n">
        <v>4.365</v>
      </c>
      <c r="AQ29" s="0" t="n">
        <v>5.22</v>
      </c>
      <c r="AR29" s="0" t="n">
        <v>0.558</v>
      </c>
      <c r="AS29" s="0" t="n">
        <v>6.569</v>
      </c>
      <c r="AT29" s="0" t="n">
        <v>6.507</v>
      </c>
      <c r="AU29" s="0" t="n">
        <v>0.065</v>
      </c>
      <c r="BT29" s="0" t="n">
        <v>5.2</v>
      </c>
      <c r="BU29" s="0" t="n">
        <v>4.198</v>
      </c>
      <c r="BV29" s="0" t="n">
        <v>1.315</v>
      </c>
      <c r="BW29" s="0" t="n">
        <v>2.769</v>
      </c>
    </row>
    <row r="30" customFormat="false" ht="15" hidden="false" customHeight="false" outlineLevel="0" collapsed="false">
      <c r="A30" s="0" t="n">
        <v>5.4</v>
      </c>
      <c r="B30" s="0" t="n">
        <v>0</v>
      </c>
      <c r="C30" s="0" t="n">
        <v>2.175</v>
      </c>
      <c r="D30" s="0" t="n">
        <v>-2.854</v>
      </c>
      <c r="E30" s="0" t="n">
        <v>5.168</v>
      </c>
      <c r="M30" s="0" t="n">
        <v>5.4</v>
      </c>
      <c r="N30" s="0" t="n">
        <v>0.054</v>
      </c>
      <c r="O30" s="0" t="n">
        <v>7.2</v>
      </c>
      <c r="P30" s="0" t="n">
        <v>2.958</v>
      </c>
      <c r="Q30" s="0" t="n">
        <v>4.417</v>
      </c>
      <c r="AQ30" s="0" t="n">
        <v>5.42</v>
      </c>
      <c r="AR30" s="0" t="n">
        <v>0.503</v>
      </c>
      <c r="AS30" s="0" t="n">
        <v>6.345</v>
      </c>
      <c r="AT30" s="0" t="n">
        <v>6.276</v>
      </c>
      <c r="AU30" s="0" t="n">
        <v>0.072</v>
      </c>
      <c r="BT30" s="0" t="n">
        <v>5.4</v>
      </c>
      <c r="BU30" s="0" t="n">
        <v>4.206</v>
      </c>
      <c r="BV30" s="0" t="n">
        <v>1.31</v>
      </c>
      <c r="BW30" s="0" t="n">
        <v>2.781</v>
      </c>
    </row>
    <row r="31" customFormat="false" ht="15" hidden="false" customHeight="false" outlineLevel="0" collapsed="false">
      <c r="A31" s="0" t="n">
        <v>5.6</v>
      </c>
      <c r="B31" s="0" t="n">
        <v>0</v>
      </c>
      <c r="C31" s="0" t="n">
        <v>2.914</v>
      </c>
      <c r="D31" s="0" t="n">
        <v>-2.111</v>
      </c>
      <c r="E31" s="0" t="n">
        <v>5.17</v>
      </c>
      <c r="M31" s="0" t="n">
        <v>5.6</v>
      </c>
      <c r="N31" s="0" t="n">
        <v>0.122</v>
      </c>
      <c r="O31" s="0" t="n">
        <v>6.413</v>
      </c>
      <c r="P31" s="0" t="n">
        <v>2.193</v>
      </c>
      <c r="Q31" s="0" t="n">
        <v>4.393</v>
      </c>
      <c r="AQ31" s="0" t="n">
        <v>5.62</v>
      </c>
      <c r="AR31" s="0" t="n">
        <v>0.462</v>
      </c>
      <c r="AS31" s="0" t="n">
        <v>6.497</v>
      </c>
      <c r="AT31" s="0" t="n">
        <v>6.43</v>
      </c>
      <c r="AU31" s="0" t="n">
        <v>0.07</v>
      </c>
      <c r="BT31" s="0" t="n">
        <v>5.6</v>
      </c>
      <c r="BU31" s="0" t="n">
        <v>4.203</v>
      </c>
      <c r="BV31" s="0" t="n">
        <v>1.308</v>
      </c>
      <c r="BW31" s="0" t="n">
        <v>2.781</v>
      </c>
    </row>
    <row r="32" customFormat="false" ht="15" hidden="false" customHeight="false" outlineLevel="0" collapsed="false">
      <c r="A32" s="0" t="n">
        <v>5.8</v>
      </c>
      <c r="B32" s="0" t="n">
        <v>0</v>
      </c>
      <c r="C32" s="0" t="n">
        <v>8.497</v>
      </c>
      <c r="D32" s="0" t="n">
        <v>3.586</v>
      </c>
      <c r="E32" s="0" t="n">
        <v>5.108</v>
      </c>
      <c r="M32" s="0" t="n">
        <v>5.8</v>
      </c>
      <c r="N32" s="0" t="n">
        <v>0.136</v>
      </c>
      <c r="O32" s="0" t="n">
        <v>2.682</v>
      </c>
      <c r="P32" s="0" t="n">
        <v>-1.618</v>
      </c>
      <c r="Q32" s="0" t="n">
        <v>4.435</v>
      </c>
      <c r="AQ32" s="0" t="n">
        <v>5.82</v>
      </c>
      <c r="AR32" s="0" t="n">
        <v>0.435</v>
      </c>
      <c r="AS32" s="0" t="n">
        <v>6.4</v>
      </c>
      <c r="AT32" s="0" t="n">
        <v>6.345</v>
      </c>
      <c r="AU32" s="0" t="n">
        <v>0.058</v>
      </c>
      <c r="BT32" s="0" t="n">
        <v>5.8</v>
      </c>
      <c r="BU32" s="0" t="n">
        <v>4.216</v>
      </c>
      <c r="BV32" s="0" t="n">
        <v>1.308</v>
      </c>
      <c r="BW32" s="0" t="n">
        <v>2.793</v>
      </c>
    </row>
    <row r="33" customFormat="false" ht="15" hidden="false" customHeight="false" outlineLevel="0" collapsed="false">
      <c r="A33" s="0" t="n">
        <v>6</v>
      </c>
      <c r="B33" s="0" t="n">
        <v>0</v>
      </c>
      <c r="C33" s="0" t="n">
        <v>10.839</v>
      </c>
      <c r="D33" s="0" t="n">
        <v>5.951</v>
      </c>
      <c r="E33" s="0" t="n">
        <v>5.13</v>
      </c>
      <c r="M33" s="0" t="n">
        <v>6</v>
      </c>
      <c r="N33" s="0" t="n">
        <v>0.163</v>
      </c>
      <c r="O33" s="0" t="n">
        <v>2.839</v>
      </c>
      <c r="P33" s="0" t="n">
        <v>-1.391</v>
      </c>
      <c r="Q33" s="0" t="n">
        <v>4.365</v>
      </c>
      <c r="AQ33" s="0" t="n">
        <v>6.02</v>
      </c>
      <c r="AR33" s="0" t="n">
        <v>0.435</v>
      </c>
      <c r="AS33" s="0" t="n">
        <v>6.949</v>
      </c>
      <c r="AT33" s="0" t="n">
        <v>6.891</v>
      </c>
      <c r="AU33" s="0" t="n">
        <v>0.061</v>
      </c>
      <c r="BT33" s="0" t="n">
        <v>6</v>
      </c>
      <c r="BU33" s="0" t="n">
        <v>4.236</v>
      </c>
      <c r="BV33" s="0" t="n">
        <v>1.352</v>
      </c>
      <c r="BW33" s="0" t="n">
        <v>2.77</v>
      </c>
    </row>
    <row r="34" customFormat="false" ht="15" hidden="false" customHeight="false" outlineLevel="0" collapsed="false">
      <c r="A34" s="0" t="n">
        <v>6.2</v>
      </c>
      <c r="B34" s="0" t="n">
        <v>0.027</v>
      </c>
      <c r="C34" s="0" t="n">
        <v>8.005</v>
      </c>
      <c r="D34" s="0" t="n">
        <v>3.098</v>
      </c>
      <c r="E34" s="0" t="n">
        <v>5.112</v>
      </c>
      <c r="M34" s="0" t="n">
        <v>6.2</v>
      </c>
      <c r="N34" s="0" t="n">
        <v>0.163</v>
      </c>
      <c r="O34" s="0" t="n">
        <v>8.091</v>
      </c>
      <c r="P34" s="0" t="n">
        <v>3.988</v>
      </c>
      <c r="Q34" s="0" t="n">
        <v>4.292</v>
      </c>
      <c r="AQ34" s="0" t="n">
        <v>6.22</v>
      </c>
      <c r="AR34" s="0" t="n">
        <v>0.449</v>
      </c>
      <c r="AS34" s="0" t="n">
        <v>6.717</v>
      </c>
      <c r="AT34" s="0" t="n">
        <v>6.662</v>
      </c>
      <c r="AU34" s="0" t="n">
        <v>0.058</v>
      </c>
      <c r="BT34" s="0" t="n">
        <v>6.2</v>
      </c>
      <c r="BU34" s="0" t="n">
        <v>4.353</v>
      </c>
      <c r="BV34" s="0" t="n">
        <v>1.322</v>
      </c>
      <c r="BW34" s="0" t="n">
        <v>2.913</v>
      </c>
    </row>
    <row r="35" customFormat="false" ht="15" hidden="false" customHeight="false" outlineLevel="0" collapsed="false">
      <c r="A35" s="0" t="n">
        <v>6.4</v>
      </c>
      <c r="B35" s="0" t="n">
        <v>0.027</v>
      </c>
      <c r="C35" s="0" t="n">
        <v>6.165</v>
      </c>
      <c r="D35" s="0" t="n">
        <v>1.251</v>
      </c>
      <c r="E35" s="0" t="n">
        <v>5.107</v>
      </c>
      <c r="M35" s="0" t="n">
        <v>6.4</v>
      </c>
      <c r="N35" s="0" t="n">
        <v>0.149</v>
      </c>
      <c r="O35" s="0" t="n">
        <v>5.99</v>
      </c>
      <c r="P35" s="0" t="n">
        <v>1.877</v>
      </c>
      <c r="Q35" s="0" t="n">
        <v>4.274</v>
      </c>
      <c r="AQ35" s="0" t="n">
        <v>6.42</v>
      </c>
      <c r="AR35" s="0" t="n">
        <v>0.422</v>
      </c>
      <c r="AS35" s="0" t="n">
        <v>6.62</v>
      </c>
      <c r="AT35" s="0" t="n">
        <v>6.573</v>
      </c>
      <c r="AU35" s="0" t="n">
        <v>0.049</v>
      </c>
      <c r="BT35" s="0" t="n">
        <v>6.4</v>
      </c>
      <c r="BU35" s="0" t="n">
        <v>4.496</v>
      </c>
      <c r="BV35" s="0" t="n">
        <v>1.331</v>
      </c>
      <c r="BW35" s="0" t="n">
        <v>3.045</v>
      </c>
    </row>
    <row r="36" customFormat="false" ht="15" hidden="false" customHeight="false" outlineLevel="0" collapsed="false">
      <c r="A36" s="0" t="n">
        <v>6.6</v>
      </c>
      <c r="B36" s="0" t="n">
        <v>0.04</v>
      </c>
      <c r="C36" s="0" t="n">
        <v>5.346</v>
      </c>
      <c r="D36" s="0" t="n">
        <v>0.461</v>
      </c>
      <c r="E36" s="0" t="n">
        <v>5.071</v>
      </c>
      <c r="M36" s="0" t="n">
        <v>6.6</v>
      </c>
      <c r="N36" s="0" t="n">
        <v>0.217</v>
      </c>
      <c r="O36" s="0" t="n">
        <v>9.655</v>
      </c>
      <c r="P36" s="0" t="n">
        <v>5.622</v>
      </c>
      <c r="Q36" s="0" t="n">
        <v>4.243</v>
      </c>
      <c r="AQ36" s="0" t="n">
        <v>6.62</v>
      </c>
      <c r="AR36" s="0" t="n">
        <v>0.462</v>
      </c>
      <c r="AS36" s="0" t="n">
        <v>6.545</v>
      </c>
      <c r="AT36" s="0" t="n">
        <v>6.486</v>
      </c>
      <c r="AU36" s="0" t="n">
        <v>0.062</v>
      </c>
      <c r="BT36" s="0" t="n">
        <v>6.6</v>
      </c>
      <c r="BU36" s="0" t="n">
        <v>4.612</v>
      </c>
      <c r="BV36" s="0" t="n">
        <v>1.325</v>
      </c>
      <c r="BW36" s="0" t="n">
        <v>3.166</v>
      </c>
    </row>
    <row r="37" customFormat="false" ht="15" hidden="false" customHeight="false" outlineLevel="0" collapsed="false">
      <c r="A37" s="0" t="n">
        <v>6.8</v>
      </c>
      <c r="B37" s="0" t="n">
        <v>0.027</v>
      </c>
      <c r="C37" s="0" t="n">
        <v>6.036</v>
      </c>
      <c r="D37" s="0" t="n">
        <v>1.161</v>
      </c>
      <c r="E37" s="0" t="n">
        <v>5.049</v>
      </c>
      <c r="M37" s="0" t="n">
        <v>6.8</v>
      </c>
      <c r="N37" s="0" t="n">
        <v>0.204</v>
      </c>
      <c r="O37" s="0" t="n">
        <v>6.712</v>
      </c>
      <c r="P37" s="0" t="n">
        <v>2.684</v>
      </c>
      <c r="Q37" s="0" t="n">
        <v>4.2</v>
      </c>
      <c r="AQ37" s="0" t="n">
        <v>6.82</v>
      </c>
      <c r="AR37" s="0" t="n">
        <v>0.422</v>
      </c>
      <c r="AS37" s="0" t="n">
        <v>6.361</v>
      </c>
      <c r="AT37" s="0" t="n">
        <v>6.319</v>
      </c>
      <c r="AU37" s="0" t="n">
        <v>0.045</v>
      </c>
      <c r="BT37" s="0" t="n">
        <v>6.8</v>
      </c>
      <c r="BU37" s="0" t="n">
        <v>4.615</v>
      </c>
      <c r="BV37" s="0" t="n">
        <v>1.327</v>
      </c>
      <c r="BW37" s="0" t="n">
        <v>3.165</v>
      </c>
    </row>
    <row r="38" customFormat="false" ht="15" hidden="false" customHeight="false" outlineLevel="0" collapsed="false">
      <c r="A38" s="0" t="n">
        <v>7</v>
      </c>
      <c r="B38" s="0" t="n">
        <v>0</v>
      </c>
      <c r="C38" s="0" t="n">
        <v>5.841</v>
      </c>
      <c r="D38" s="0" t="n">
        <v>1.031</v>
      </c>
      <c r="E38" s="0" t="n">
        <v>4.983</v>
      </c>
      <c r="M38" s="0" t="n">
        <v>7</v>
      </c>
      <c r="N38" s="0" t="n">
        <v>0.285</v>
      </c>
      <c r="O38" s="0" t="n">
        <v>5.61</v>
      </c>
      <c r="P38" s="0" t="n">
        <v>1.641</v>
      </c>
      <c r="Q38" s="0" t="n">
        <v>4.125</v>
      </c>
      <c r="AQ38" s="0" t="n">
        <v>7.02</v>
      </c>
      <c r="AR38" s="0" t="n">
        <v>0.422</v>
      </c>
      <c r="AS38" s="0" t="n">
        <v>6.287</v>
      </c>
      <c r="AT38" s="0" t="n">
        <v>6.234</v>
      </c>
      <c r="AU38" s="0" t="n">
        <v>0.056</v>
      </c>
      <c r="BT38" s="0" t="n">
        <v>7</v>
      </c>
      <c r="BU38" s="0" t="n">
        <v>4.834</v>
      </c>
      <c r="BV38" s="0" t="n">
        <v>1.326</v>
      </c>
      <c r="BW38" s="0" t="n">
        <v>3.382</v>
      </c>
    </row>
    <row r="39" customFormat="false" ht="15" hidden="false" customHeight="false" outlineLevel="0" collapsed="false">
      <c r="A39" s="0" t="n">
        <v>7.2</v>
      </c>
      <c r="B39" s="0" t="n">
        <v>0.068</v>
      </c>
      <c r="C39" s="0" t="n">
        <v>6.371</v>
      </c>
      <c r="D39" s="0" t="n">
        <v>1.692</v>
      </c>
      <c r="E39" s="0" t="n">
        <v>4.851</v>
      </c>
      <c r="M39" s="0" t="n">
        <v>7.2</v>
      </c>
      <c r="N39" s="0" t="n">
        <v>0.285</v>
      </c>
      <c r="O39" s="0" t="n">
        <v>6.301</v>
      </c>
      <c r="P39" s="0" t="n">
        <v>2.462</v>
      </c>
      <c r="Q39" s="0" t="n">
        <v>3.998</v>
      </c>
      <c r="AQ39" s="0" t="n">
        <v>7.22</v>
      </c>
      <c r="AR39" s="0" t="n">
        <v>0.435</v>
      </c>
      <c r="AS39" s="0" t="n">
        <v>6.675</v>
      </c>
      <c r="AT39" s="0" t="n">
        <v>6.627</v>
      </c>
      <c r="AU39" s="0" t="n">
        <v>0.051</v>
      </c>
      <c r="BT39" s="0" t="n">
        <v>7.2</v>
      </c>
      <c r="BU39" s="0" t="n">
        <v>4.926</v>
      </c>
      <c r="BV39" s="0" t="n">
        <v>1.344</v>
      </c>
      <c r="BW39" s="0" t="n">
        <v>3.454</v>
      </c>
    </row>
    <row r="40" customFormat="false" ht="15" hidden="false" customHeight="false" outlineLevel="0" collapsed="false">
      <c r="A40" s="0" t="n">
        <v>7.4</v>
      </c>
      <c r="B40" s="0" t="n">
        <v>0.068</v>
      </c>
      <c r="C40" s="0" t="n">
        <v>2.426</v>
      </c>
      <c r="D40" s="0" t="n">
        <v>-2.217</v>
      </c>
      <c r="E40" s="0" t="n">
        <v>4.78</v>
      </c>
      <c r="M40" s="0" t="n">
        <v>7.4</v>
      </c>
      <c r="N40" s="0" t="n">
        <v>0.299</v>
      </c>
      <c r="O40" s="0" t="n">
        <v>2.037</v>
      </c>
      <c r="P40" s="0" t="n">
        <v>-1.809</v>
      </c>
      <c r="Q40" s="0" t="n">
        <v>3.965</v>
      </c>
      <c r="AQ40" s="0" t="n">
        <v>7.42</v>
      </c>
      <c r="AR40" s="0" t="n">
        <v>0.449</v>
      </c>
      <c r="AS40" s="0" t="n">
        <v>6.92</v>
      </c>
      <c r="AT40" s="0" t="n">
        <v>6.872</v>
      </c>
      <c r="AU40" s="0" t="n">
        <v>0.05</v>
      </c>
      <c r="BT40" s="0" t="n">
        <v>7.4</v>
      </c>
      <c r="BU40" s="0" t="n">
        <v>4.863</v>
      </c>
      <c r="BV40" s="0" t="n">
        <v>1.331</v>
      </c>
      <c r="BW40" s="0" t="n">
        <v>3.406</v>
      </c>
    </row>
    <row r="41" customFormat="false" ht="15" hidden="false" customHeight="false" outlineLevel="0" collapsed="false">
      <c r="A41" s="0" t="n">
        <v>7.6</v>
      </c>
      <c r="B41" s="0" t="n">
        <v>0.04</v>
      </c>
      <c r="C41" s="0" t="n">
        <v>2.354</v>
      </c>
      <c r="D41" s="0" t="n">
        <v>-2.242</v>
      </c>
      <c r="E41" s="0" t="n">
        <v>4.729</v>
      </c>
      <c r="M41" s="0" t="n">
        <v>7.6</v>
      </c>
      <c r="N41" s="0" t="n">
        <v>0.19</v>
      </c>
      <c r="O41" s="0" t="n">
        <v>1.344</v>
      </c>
      <c r="P41" s="0" t="n">
        <v>-2.504</v>
      </c>
      <c r="Q41" s="0" t="n">
        <v>3.96</v>
      </c>
      <c r="AQ41" s="0" t="n">
        <v>7.62</v>
      </c>
      <c r="AR41" s="0" t="n">
        <v>0.435</v>
      </c>
      <c r="AS41" s="0" t="n">
        <v>7.096</v>
      </c>
      <c r="AT41" s="0" t="n">
        <v>7.06</v>
      </c>
      <c r="AU41" s="0" t="n">
        <v>0.038</v>
      </c>
      <c r="BT41" s="0" t="n">
        <v>7.6</v>
      </c>
      <c r="BU41" s="0" t="n">
        <v>5.074</v>
      </c>
      <c r="BV41" s="0" t="n">
        <v>1.334</v>
      </c>
      <c r="BW41" s="0" t="n">
        <v>3.611</v>
      </c>
    </row>
    <row r="42" customFormat="false" ht="15" hidden="false" customHeight="false" outlineLevel="0" collapsed="false">
      <c r="A42" s="0" t="n">
        <v>7.8</v>
      </c>
      <c r="B42" s="0" t="n">
        <v>0.054</v>
      </c>
      <c r="C42" s="0" t="n">
        <v>1.384</v>
      </c>
      <c r="D42" s="0" t="n">
        <v>-3.214</v>
      </c>
      <c r="E42" s="0" t="n">
        <v>4.722</v>
      </c>
      <c r="M42" s="0" t="n">
        <v>7.8</v>
      </c>
      <c r="N42" s="0" t="n">
        <v>0.081</v>
      </c>
      <c r="O42" s="0" t="n">
        <v>1.329</v>
      </c>
      <c r="P42" s="0" t="n">
        <v>-2.492</v>
      </c>
      <c r="Q42" s="0" t="n">
        <v>3.932</v>
      </c>
      <c r="AQ42" s="0" t="n">
        <v>7.82</v>
      </c>
      <c r="AR42" s="0" t="n">
        <v>0.449</v>
      </c>
      <c r="AS42" s="0" t="n">
        <v>6.899</v>
      </c>
      <c r="AT42" s="0" t="n">
        <v>6.863</v>
      </c>
      <c r="AU42" s="0" t="n">
        <v>0.038</v>
      </c>
      <c r="BT42" s="0" t="n">
        <v>7.8</v>
      </c>
      <c r="BU42" s="0" t="n">
        <v>5.177</v>
      </c>
      <c r="BV42" s="0" t="n">
        <v>1.351</v>
      </c>
      <c r="BW42" s="0" t="n">
        <v>3.697</v>
      </c>
    </row>
    <row r="43" customFormat="false" ht="15" hidden="false" customHeight="false" outlineLevel="0" collapsed="false">
      <c r="A43" s="0" t="n">
        <v>8</v>
      </c>
      <c r="B43" s="0" t="n">
        <v>0</v>
      </c>
      <c r="C43" s="0" t="n">
        <v>1.343</v>
      </c>
      <c r="D43" s="0" t="n">
        <v>-3.262</v>
      </c>
      <c r="E43" s="0" t="n">
        <v>4.729</v>
      </c>
      <c r="M43" s="0" t="n">
        <v>8</v>
      </c>
      <c r="N43" s="0" t="n">
        <v>0</v>
      </c>
      <c r="O43" s="0" t="n">
        <v>1.322</v>
      </c>
      <c r="P43" s="0" t="n">
        <v>-2.493</v>
      </c>
      <c r="Q43" s="0" t="n">
        <v>3.925</v>
      </c>
      <c r="AQ43" s="0" t="n">
        <v>8.02</v>
      </c>
      <c r="AR43" s="0" t="n">
        <v>0.449</v>
      </c>
      <c r="AS43" s="0" t="n">
        <v>6.17</v>
      </c>
      <c r="AT43" s="0" t="n">
        <v>6.143</v>
      </c>
      <c r="AU43" s="0" t="n">
        <v>0.029</v>
      </c>
      <c r="BT43" s="0" t="n">
        <v>8</v>
      </c>
      <c r="BU43" s="0" t="n">
        <v>5.181</v>
      </c>
      <c r="BV43" s="0" t="n">
        <v>1.343</v>
      </c>
      <c r="BW43" s="0" t="n">
        <v>3.709</v>
      </c>
    </row>
    <row r="44" customFormat="false" ht="15" hidden="false" customHeight="false" outlineLevel="0" collapsed="false">
      <c r="AQ44" s="0" t="n">
        <v>8.22</v>
      </c>
      <c r="AR44" s="0" t="n">
        <v>0.408</v>
      </c>
      <c r="AS44" s="0" t="n">
        <v>6.215</v>
      </c>
      <c r="AT44" s="0" t="n">
        <v>6.191</v>
      </c>
      <c r="AU44" s="0" t="n">
        <v>0.025</v>
      </c>
      <c r="BT44" s="0" t="n">
        <v>8.2</v>
      </c>
      <c r="BU44" s="0" t="n">
        <v>5.163</v>
      </c>
      <c r="BV44" s="0" t="n">
        <v>1.337</v>
      </c>
      <c r="BW44" s="0" t="n">
        <v>3.696</v>
      </c>
    </row>
    <row r="45" customFormat="false" ht="15" hidden="false" customHeight="false" outlineLevel="0" collapsed="false">
      <c r="AQ45" s="0" t="n">
        <v>8.42</v>
      </c>
      <c r="AR45" s="0" t="n">
        <v>0.381</v>
      </c>
      <c r="AS45" s="0" t="n">
        <v>9.776</v>
      </c>
      <c r="AT45" s="0" t="n">
        <v>9.751</v>
      </c>
      <c r="AU45" s="0" t="n">
        <v>0.027</v>
      </c>
      <c r="BT45" s="0" t="n">
        <v>8.4</v>
      </c>
      <c r="BU45" s="0" t="n">
        <v>5.104</v>
      </c>
      <c r="BV45" s="0" t="n">
        <v>1.339</v>
      </c>
      <c r="BW45" s="0" t="n">
        <v>3.636</v>
      </c>
    </row>
    <row r="46" customFormat="false" ht="15" hidden="false" customHeight="false" outlineLevel="0" collapsed="false">
      <c r="AQ46" s="0" t="n">
        <v>8.62</v>
      </c>
      <c r="AR46" s="0" t="n">
        <v>0.503</v>
      </c>
      <c r="AS46" s="0" t="n">
        <v>7.384</v>
      </c>
      <c r="AT46" s="0" t="n">
        <v>7.364</v>
      </c>
      <c r="AU46" s="0" t="n">
        <v>0.021</v>
      </c>
      <c r="BT46" s="0" t="n">
        <v>8.6</v>
      </c>
      <c r="BU46" s="0" t="n">
        <v>4.955</v>
      </c>
      <c r="BV46" s="0" t="n">
        <v>1.325</v>
      </c>
      <c r="BW46" s="0" t="n">
        <v>3.503</v>
      </c>
    </row>
    <row r="47" customFormat="false" ht="15" hidden="false" customHeight="false" outlineLevel="0" collapsed="false">
      <c r="AQ47" s="0" t="n">
        <v>8.82</v>
      </c>
      <c r="AR47" s="0" t="n">
        <v>0.68</v>
      </c>
      <c r="AS47" s="0" t="n">
        <v>4.246</v>
      </c>
      <c r="AT47" s="0" t="n">
        <v>4.226</v>
      </c>
      <c r="AU47" s="0" t="n">
        <v>0.021</v>
      </c>
      <c r="BT47" s="0" t="n">
        <v>8.8</v>
      </c>
      <c r="BU47" s="0" t="n">
        <v>5.111</v>
      </c>
      <c r="BV47" s="0" t="n">
        <v>1.322</v>
      </c>
      <c r="BW47" s="0" t="n">
        <v>3.66</v>
      </c>
    </row>
    <row r="48" customFormat="false" ht="15" hidden="false" customHeight="false" outlineLevel="0" collapsed="false">
      <c r="AQ48" s="0" t="n">
        <v>9.02</v>
      </c>
      <c r="AR48" s="0" t="n">
        <v>0.68</v>
      </c>
      <c r="AS48" s="0" t="n">
        <v>5.612</v>
      </c>
      <c r="AT48" s="0" t="n">
        <v>5.594</v>
      </c>
      <c r="AU48" s="0" t="n">
        <v>0.019</v>
      </c>
      <c r="BT48" s="0" t="n">
        <v>9</v>
      </c>
      <c r="BU48" s="0" t="n">
        <v>5.195</v>
      </c>
      <c r="BV48" s="0" t="n">
        <v>1.331</v>
      </c>
      <c r="BW48" s="0" t="n">
        <v>3.728</v>
      </c>
    </row>
    <row r="49" customFormat="false" ht="15" hidden="false" customHeight="false" outlineLevel="0" collapsed="false">
      <c r="AQ49" s="0" t="n">
        <v>9.22</v>
      </c>
      <c r="AR49" s="0" t="n">
        <v>0.571</v>
      </c>
      <c r="AS49" s="0" t="n">
        <v>6.079</v>
      </c>
      <c r="AT49" s="0" t="n">
        <v>6.058</v>
      </c>
      <c r="AU49" s="0" t="n">
        <v>0.022</v>
      </c>
      <c r="BT49" s="0" t="n">
        <v>9.2</v>
      </c>
      <c r="BU49" s="0" t="n">
        <v>5.356</v>
      </c>
      <c r="BV49" s="0" t="n">
        <v>1.358</v>
      </c>
      <c r="BW49" s="0" t="n">
        <v>3.865</v>
      </c>
    </row>
    <row r="50" customFormat="false" ht="15" hidden="false" customHeight="false" outlineLevel="0" collapsed="false">
      <c r="AQ50" s="0" t="n">
        <v>9.42</v>
      </c>
      <c r="AR50" s="0" t="n">
        <v>0.503</v>
      </c>
      <c r="AS50" s="0" t="n">
        <v>5.56</v>
      </c>
      <c r="AT50" s="0" t="n">
        <v>5.525</v>
      </c>
      <c r="AU50" s="0" t="n">
        <v>0.036</v>
      </c>
      <c r="BT50" s="0" t="n">
        <v>9.4</v>
      </c>
      <c r="BU50" s="0" t="n">
        <v>5.409</v>
      </c>
      <c r="BV50" s="0" t="n">
        <v>1.339</v>
      </c>
      <c r="BW50" s="0" t="n">
        <v>3.938</v>
      </c>
    </row>
    <row r="51" customFormat="false" ht="15" hidden="false" customHeight="false" outlineLevel="0" collapsed="false">
      <c r="AQ51" s="0" t="n">
        <v>9.62</v>
      </c>
      <c r="AR51" s="0" t="n">
        <v>0.476</v>
      </c>
      <c r="AS51" s="0" t="n">
        <v>7.031</v>
      </c>
      <c r="AT51" s="0" t="n">
        <v>6.996</v>
      </c>
      <c r="AU51" s="0" t="n">
        <v>0.037</v>
      </c>
      <c r="BT51" s="0" t="n">
        <v>9.6</v>
      </c>
      <c r="BU51" s="0" t="n">
        <v>5.489</v>
      </c>
      <c r="BV51" s="0" t="n">
        <v>1.333</v>
      </c>
      <c r="BW51" s="0" t="n">
        <v>4.022</v>
      </c>
    </row>
    <row r="52" customFormat="false" ht="15" hidden="false" customHeight="false" outlineLevel="0" collapsed="false">
      <c r="AQ52" s="0" t="n">
        <v>9.82</v>
      </c>
      <c r="AR52" s="0" t="n">
        <v>0.49</v>
      </c>
      <c r="AS52" s="0" t="n">
        <v>8.157</v>
      </c>
      <c r="AT52" s="0" t="n">
        <v>8.107</v>
      </c>
      <c r="AU52" s="0" t="n">
        <v>0.053</v>
      </c>
      <c r="BT52" s="0" t="n">
        <v>9.8</v>
      </c>
      <c r="BU52" s="0" t="n">
        <v>5.522</v>
      </c>
      <c r="BV52" s="0" t="n">
        <v>1.354</v>
      </c>
      <c r="BW52" s="0" t="n">
        <v>4.035</v>
      </c>
    </row>
    <row r="53" customFormat="false" ht="15" hidden="false" customHeight="false" outlineLevel="0" collapsed="false">
      <c r="AQ53" s="0" t="n">
        <v>10.02</v>
      </c>
      <c r="AR53" s="0" t="n">
        <v>0.49</v>
      </c>
      <c r="AS53" s="0" t="n">
        <v>6.395</v>
      </c>
      <c r="AT53" s="0" t="n">
        <v>6.356</v>
      </c>
      <c r="AU53" s="0" t="n">
        <v>0.041</v>
      </c>
      <c r="BT53" s="0" t="n">
        <v>10</v>
      </c>
      <c r="BU53" s="0" t="n">
        <v>5.49</v>
      </c>
      <c r="BV53" s="0" t="n">
        <v>1.346</v>
      </c>
      <c r="BW53" s="0" t="n">
        <v>4.01</v>
      </c>
    </row>
    <row r="54" customFormat="false" ht="15" hidden="false" customHeight="false" outlineLevel="0" collapsed="false">
      <c r="AQ54" s="0" t="n">
        <v>10.22</v>
      </c>
      <c r="AR54" s="0" t="n">
        <v>0.639</v>
      </c>
      <c r="AS54" s="0" t="n">
        <v>5.384</v>
      </c>
      <c r="AT54" s="0" t="n">
        <v>5.331</v>
      </c>
      <c r="AU54" s="0" t="n">
        <v>0.055</v>
      </c>
      <c r="BT54" s="0" t="n">
        <v>10.2</v>
      </c>
      <c r="BU54" s="0" t="n">
        <v>5.529</v>
      </c>
      <c r="BV54" s="0" t="n">
        <v>1.336</v>
      </c>
      <c r="BW54" s="0" t="n">
        <v>4.058</v>
      </c>
    </row>
    <row r="55" customFormat="false" ht="15" hidden="false" customHeight="false" outlineLevel="0" collapsed="false">
      <c r="AQ55" s="0" t="n">
        <v>10.42</v>
      </c>
      <c r="AR55" s="0" t="n">
        <v>0.694</v>
      </c>
      <c r="AS55" s="0" t="n">
        <v>5.456</v>
      </c>
      <c r="AT55" s="0" t="n">
        <v>5.398</v>
      </c>
      <c r="AU55" s="0" t="n">
        <v>0.06</v>
      </c>
      <c r="BT55" s="0" t="n">
        <v>10.4</v>
      </c>
      <c r="BU55" s="0" t="n">
        <v>5.51</v>
      </c>
      <c r="BV55" s="0" t="n">
        <v>1.365</v>
      </c>
      <c r="BW55" s="0" t="n">
        <v>4.01</v>
      </c>
    </row>
    <row r="56" customFormat="false" ht="15" hidden="false" customHeight="false" outlineLevel="0" collapsed="false">
      <c r="AQ56" s="0" t="n">
        <v>10.62</v>
      </c>
      <c r="AR56" s="0" t="n">
        <v>0.68</v>
      </c>
      <c r="AS56" s="0" t="n">
        <v>6.617</v>
      </c>
      <c r="AT56" s="0" t="n">
        <v>6.569</v>
      </c>
      <c r="AU56" s="0" t="n">
        <v>0.051</v>
      </c>
      <c r="BT56" s="0" t="n">
        <v>10.6</v>
      </c>
      <c r="BU56" s="0" t="n">
        <v>5.079</v>
      </c>
      <c r="BV56" s="0" t="n">
        <v>1.35</v>
      </c>
      <c r="BW56" s="0" t="n">
        <v>3.599</v>
      </c>
    </row>
    <row r="57" customFormat="false" ht="15" hidden="false" customHeight="false" outlineLevel="0" collapsed="false">
      <c r="AQ57" s="0" t="n">
        <v>10.82</v>
      </c>
      <c r="AR57" s="0" t="n">
        <v>0.68</v>
      </c>
      <c r="AS57" s="0" t="n">
        <v>5.719</v>
      </c>
      <c r="AT57" s="0" t="n">
        <v>5.629</v>
      </c>
      <c r="AU57" s="0" t="n">
        <v>0.095</v>
      </c>
      <c r="BT57" s="0" t="n">
        <v>10.8</v>
      </c>
      <c r="BU57" s="0" t="n">
        <v>5.231</v>
      </c>
      <c r="BV57" s="0" t="n">
        <v>1.332</v>
      </c>
      <c r="BW57" s="0" t="n">
        <v>3.769</v>
      </c>
    </row>
    <row r="58" customFormat="false" ht="15" hidden="false" customHeight="false" outlineLevel="0" collapsed="false">
      <c r="AQ58" s="0" t="n">
        <v>11.02</v>
      </c>
      <c r="AR58" s="0" t="n">
        <v>0.68</v>
      </c>
      <c r="AS58" s="0" t="n">
        <v>5.686</v>
      </c>
      <c r="AT58" s="0" t="n">
        <v>5.524</v>
      </c>
      <c r="AU58" s="0" t="n">
        <v>0.171</v>
      </c>
      <c r="BT58" s="0" t="n">
        <v>11</v>
      </c>
      <c r="BU58" s="0" t="n">
        <v>5.224</v>
      </c>
      <c r="BV58" s="0" t="n">
        <v>1.349</v>
      </c>
      <c r="BW58" s="0" t="n">
        <v>3.743</v>
      </c>
    </row>
    <row r="59" customFormat="false" ht="15" hidden="false" customHeight="false" outlineLevel="0" collapsed="false">
      <c r="AQ59" s="0" t="n">
        <v>11.22</v>
      </c>
      <c r="AR59" s="0" t="n">
        <v>0.598</v>
      </c>
      <c r="AS59" s="0" t="n">
        <v>4.934</v>
      </c>
      <c r="AT59" s="0" t="n">
        <v>4.711</v>
      </c>
      <c r="AU59" s="0" t="n">
        <v>0.234</v>
      </c>
      <c r="BT59" s="0" t="n">
        <v>11.2</v>
      </c>
      <c r="BU59" s="0" t="n">
        <v>5.207</v>
      </c>
      <c r="BV59" s="0" t="n">
        <v>1.333</v>
      </c>
      <c r="BW59" s="0" t="n">
        <v>3.746</v>
      </c>
    </row>
    <row r="60" customFormat="false" ht="15" hidden="false" customHeight="false" outlineLevel="0" collapsed="false">
      <c r="AQ60" s="0" t="n">
        <v>11.42</v>
      </c>
      <c r="AR60" s="0" t="n">
        <v>0.34</v>
      </c>
      <c r="AS60" s="0" t="n">
        <v>6.314</v>
      </c>
      <c r="AT60" s="0" t="n">
        <v>3.454</v>
      </c>
      <c r="AU60" s="0" t="n">
        <v>2.987</v>
      </c>
      <c r="BT60" s="0" t="n">
        <v>11.4</v>
      </c>
      <c r="BU60" s="0" t="n">
        <v>5.168</v>
      </c>
      <c r="BV60" s="0" t="n">
        <v>1.33</v>
      </c>
      <c r="BW60" s="0" t="n">
        <v>3.709</v>
      </c>
    </row>
    <row r="61" customFormat="false" ht="15" hidden="false" customHeight="false" outlineLevel="0" collapsed="false">
      <c r="AQ61" s="0" t="n">
        <v>11.62</v>
      </c>
      <c r="AR61" s="0" t="n">
        <v>0.353</v>
      </c>
      <c r="AS61" s="0" t="n">
        <v>5.679</v>
      </c>
      <c r="AT61" s="0" t="n">
        <v>5.111</v>
      </c>
      <c r="AU61" s="0" t="n">
        <v>0.597</v>
      </c>
      <c r="BT61" s="0" t="n">
        <v>11.6</v>
      </c>
      <c r="BU61" s="0" t="n">
        <v>5.132</v>
      </c>
      <c r="BV61" s="0" t="n">
        <v>1.331</v>
      </c>
      <c r="BW61" s="0" t="n">
        <v>3.672</v>
      </c>
    </row>
    <row r="62" customFormat="false" ht="15" hidden="false" customHeight="false" outlineLevel="0" collapsed="false">
      <c r="AQ62" s="0" t="n">
        <v>11.82</v>
      </c>
      <c r="AR62" s="0" t="n">
        <v>0.353</v>
      </c>
      <c r="AS62" s="0" t="n">
        <v>2.066</v>
      </c>
      <c r="AT62" s="0" t="n">
        <v>1.848</v>
      </c>
      <c r="AU62" s="0" t="n">
        <v>0.228</v>
      </c>
      <c r="BT62" s="0" t="n">
        <v>11.8</v>
      </c>
      <c r="BU62" s="0" t="n">
        <v>5.071</v>
      </c>
      <c r="BV62" s="0" t="n">
        <v>1.295</v>
      </c>
      <c r="BW62" s="0" t="n">
        <v>3.648</v>
      </c>
    </row>
    <row r="63" customFormat="false" ht="15" hidden="false" customHeight="false" outlineLevel="0" collapsed="false">
      <c r="AQ63" s="0" t="n">
        <v>12.02</v>
      </c>
      <c r="AR63" s="0" t="n">
        <v>0.353</v>
      </c>
      <c r="AS63" s="0" t="n">
        <v>1.315</v>
      </c>
      <c r="AT63" s="0" t="n">
        <v>0.897</v>
      </c>
      <c r="AU63" s="0" t="n">
        <v>0.434</v>
      </c>
      <c r="BT63" s="0" t="n">
        <v>12</v>
      </c>
      <c r="BU63" s="0" t="n">
        <v>0.375</v>
      </c>
      <c r="BV63" s="0" t="n">
        <v>1.309</v>
      </c>
      <c r="BW63" s="0" t="n">
        <v>-0.947</v>
      </c>
    </row>
    <row r="64" customFormat="false" ht="15" hidden="false" customHeight="false" outlineLevel="0" collapsed="false">
      <c r="AQ64" s="0" t="n">
        <v>12.22</v>
      </c>
      <c r="AR64" s="0" t="n">
        <v>0.258</v>
      </c>
      <c r="AS64" s="0" t="n">
        <v>1.307</v>
      </c>
      <c r="AT64" s="0" t="n">
        <v>1.038</v>
      </c>
      <c r="AU64" s="0" t="n">
        <v>0.279</v>
      </c>
      <c r="BT64" s="0" t="n">
        <v>12.2</v>
      </c>
      <c r="BU64" s="0" t="n">
        <v>5.193</v>
      </c>
      <c r="BV64" s="0" t="n">
        <v>1.331</v>
      </c>
      <c r="BW64" s="0" t="n">
        <v>3.733</v>
      </c>
    </row>
    <row r="65" customFormat="false" ht="15" hidden="false" customHeight="false" outlineLevel="0" collapsed="false">
      <c r="AQ65" s="0" t="n">
        <v>12.42</v>
      </c>
      <c r="AR65" s="0" t="n">
        <v>0.136</v>
      </c>
      <c r="AS65" s="0" t="n">
        <v>1.312</v>
      </c>
      <c r="AT65" s="0" t="n">
        <v>0.709</v>
      </c>
      <c r="AU65" s="0" t="n">
        <v>0.627</v>
      </c>
      <c r="BT65" s="0" t="n">
        <v>12.4</v>
      </c>
      <c r="BU65" s="0" t="n">
        <v>5.224</v>
      </c>
      <c r="BV65" s="0" t="n">
        <v>1.337</v>
      </c>
      <c r="BW65" s="0" t="n">
        <v>3.757</v>
      </c>
    </row>
    <row r="66" customFormat="false" ht="15" hidden="false" customHeight="false" outlineLevel="0" collapsed="false">
      <c r="AQ66" s="0" t="n">
        <v>12.62</v>
      </c>
      <c r="AR66" s="0" t="n">
        <v>0.013</v>
      </c>
      <c r="AS66" s="0" t="n">
        <v>1.307</v>
      </c>
      <c r="AT66" s="0" t="n">
        <v>0.709</v>
      </c>
      <c r="AU66" s="0" t="n">
        <v>0.621</v>
      </c>
      <c r="BT66" s="0" t="n">
        <v>12.6</v>
      </c>
      <c r="BU66" s="0" t="n">
        <v>5.235</v>
      </c>
      <c r="BV66" s="0" t="n">
        <v>1.336</v>
      </c>
      <c r="BW66" s="0" t="n">
        <v>3.77</v>
      </c>
    </row>
    <row r="67" customFormat="false" ht="15" hidden="false" customHeight="false" outlineLevel="0" collapsed="false">
      <c r="BT67" s="0" t="n">
        <v>12.8</v>
      </c>
      <c r="BU67" s="0" t="n">
        <v>5.24</v>
      </c>
      <c r="BV67" s="0" t="n">
        <v>1.341</v>
      </c>
      <c r="BW67" s="0" t="n">
        <v>3.769</v>
      </c>
    </row>
    <row r="68" customFormat="false" ht="15" hidden="false" customHeight="false" outlineLevel="0" collapsed="false">
      <c r="BT68" s="0" t="n">
        <v>13</v>
      </c>
      <c r="BU68" s="0" t="n">
        <v>5.252</v>
      </c>
      <c r="BV68" s="0" t="n">
        <v>1.34</v>
      </c>
      <c r="BW68" s="0" t="n">
        <v>3.781</v>
      </c>
    </row>
    <row r="69" customFormat="false" ht="15" hidden="false" customHeight="false" outlineLevel="0" collapsed="false">
      <c r="BT69" s="0" t="n">
        <v>13.2</v>
      </c>
      <c r="BU69" s="0" t="n">
        <v>5.254</v>
      </c>
      <c r="BV69" s="0" t="n">
        <v>1.342</v>
      </c>
      <c r="BW69" s="0" t="n">
        <v>3.781</v>
      </c>
    </row>
    <row r="70" customFormat="false" ht="15" hidden="false" customHeight="false" outlineLevel="0" collapsed="false">
      <c r="BT70" s="0" t="n">
        <v>13.4</v>
      </c>
      <c r="BU70" s="0" t="n">
        <v>5.254</v>
      </c>
      <c r="BV70" s="0" t="n">
        <v>1.558</v>
      </c>
      <c r="BW70" s="0" t="n">
        <v>3.565</v>
      </c>
    </row>
    <row r="71" customFormat="false" ht="15" hidden="false" customHeight="false" outlineLevel="0" collapsed="false">
      <c r="BT71" s="0" t="n">
        <v>13.6</v>
      </c>
      <c r="BU71" s="0" t="n">
        <v>5.259</v>
      </c>
      <c r="BV71" s="0" t="n">
        <v>1.348</v>
      </c>
      <c r="BW71" s="0" t="n">
        <v>3.782</v>
      </c>
    </row>
    <row r="72" customFormat="false" ht="15" hidden="false" customHeight="false" outlineLevel="0" collapsed="false">
      <c r="BT72" s="0" t="n">
        <v>13.8</v>
      </c>
      <c r="BU72" s="0" t="n">
        <v>5.262</v>
      </c>
      <c r="BV72" s="0" t="n">
        <v>1.339</v>
      </c>
      <c r="BW72" s="0" t="n">
        <v>3.794</v>
      </c>
    </row>
    <row r="73" customFormat="false" ht="15" hidden="false" customHeight="false" outlineLevel="0" collapsed="false">
      <c r="BT73" s="0" t="n">
        <v>14</v>
      </c>
      <c r="BU73" s="0" t="n">
        <v>5.261</v>
      </c>
      <c r="BV73" s="0" t="n">
        <v>1.338</v>
      </c>
      <c r="BW73" s="0" t="n">
        <v>3.794</v>
      </c>
    </row>
    <row r="74" customFormat="false" ht="15" hidden="false" customHeight="false" outlineLevel="0" collapsed="false">
      <c r="BT74" s="0" t="n">
        <v>14.2</v>
      </c>
      <c r="BU74" s="0" t="n">
        <v>5.27</v>
      </c>
      <c r="BV74" s="0" t="n">
        <v>1.346</v>
      </c>
      <c r="BW74" s="0" t="n">
        <v>3.793</v>
      </c>
    </row>
    <row r="75" customFormat="false" ht="15" hidden="false" customHeight="false" outlineLevel="0" collapsed="false">
      <c r="BT75" s="0" t="n">
        <v>14.4</v>
      </c>
      <c r="BU75" s="0" t="n">
        <v>5.269</v>
      </c>
      <c r="BV75" s="0" t="n">
        <v>1.764</v>
      </c>
      <c r="BW75" s="0" t="n">
        <v>3.375</v>
      </c>
    </row>
    <row r="76" customFormat="false" ht="15" hidden="false" customHeight="false" outlineLevel="0" collapsed="false">
      <c r="BT76" s="0" t="n">
        <v>14.6</v>
      </c>
      <c r="BU76" s="0" t="n">
        <v>5.267</v>
      </c>
      <c r="BV76" s="0" t="n">
        <v>1.332</v>
      </c>
      <c r="BW76" s="0" t="n">
        <v>3.806</v>
      </c>
    </row>
    <row r="77" customFormat="false" ht="15" hidden="false" customHeight="false" outlineLevel="0" collapsed="false">
      <c r="BT77" s="0" t="n">
        <v>14.8</v>
      </c>
      <c r="BU77" s="0" t="n">
        <v>5.278</v>
      </c>
      <c r="BV77" s="0" t="n">
        <v>1.354</v>
      </c>
      <c r="BW77" s="0" t="n">
        <v>3.794</v>
      </c>
    </row>
    <row r="78" customFormat="false" ht="15" hidden="false" customHeight="false" outlineLevel="0" collapsed="false">
      <c r="BT78" s="0" t="n">
        <v>15</v>
      </c>
      <c r="BU78" s="0" t="n">
        <v>5.272</v>
      </c>
      <c r="BV78" s="0" t="n">
        <v>1.324</v>
      </c>
      <c r="BW78" s="0" t="n">
        <v>3.818</v>
      </c>
    </row>
    <row r="79" customFormat="false" ht="15" hidden="false" customHeight="false" outlineLevel="0" collapsed="false">
      <c r="BT79" s="0" t="n">
        <v>15.2</v>
      </c>
      <c r="BU79" s="0" t="n">
        <v>5.286</v>
      </c>
      <c r="BV79" s="0" t="n">
        <v>1.338</v>
      </c>
      <c r="BW79" s="0" t="n">
        <v>3.817</v>
      </c>
    </row>
    <row r="80" customFormat="false" ht="15" hidden="false" customHeight="false" outlineLevel="0" collapsed="false">
      <c r="BT80" s="0" t="n">
        <v>15.4</v>
      </c>
      <c r="BU80" s="0" t="n">
        <v>5.292</v>
      </c>
      <c r="BV80" s="0" t="n">
        <v>1.343</v>
      </c>
      <c r="BW80" s="0" t="n">
        <v>3.816</v>
      </c>
    </row>
    <row r="81" customFormat="false" ht="15" hidden="false" customHeight="false" outlineLevel="0" collapsed="false">
      <c r="BT81" s="0" t="n">
        <v>15.6</v>
      </c>
      <c r="BU81" s="0" t="n">
        <v>5.297</v>
      </c>
      <c r="BV81" s="0" t="n">
        <v>1.337</v>
      </c>
      <c r="BW81" s="0" t="n">
        <v>3.83</v>
      </c>
    </row>
    <row r="82" customFormat="false" ht="15" hidden="false" customHeight="false" outlineLevel="0" collapsed="false">
      <c r="BT82" s="0" t="n">
        <v>15.8</v>
      </c>
      <c r="BU82" s="0" t="n">
        <v>5.31</v>
      </c>
      <c r="BV82" s="0" t="n">
        <v>1.802</v>
      </c>
      <c r="BW82" s="0" t="n">
        <v>3.371</v>
      </c>
    </row>
    <row r="83" customFormat="false" ht="15" hidden="false" customHeight="false" outlineLevel="0" collapsed="false">
      <c r="BT83" s="0" t="n">
        <v>16</v>
      </c>
      <c r="BU83" s="0" t="n">
        <v>5.315</v>
      </c>
      <c r="BV83" s="0" t="n">
        <v>1.33</v>
      </c>
      <c r="BW83" s="0" t="n">
        <v>3.853</v>
      </c>
    </row>
    <row r="84" customFormat="false" ht="15" hidden="false" customHeight="false" outlineLevel="0" collapsed="false">
      <c r="BT84" s="0" t="n">
        <v>16.2</v>
      </c>
      <c r="BU84" s="0" t="n">
        <v>5.319</v>
      </c>
      <c r="BV84" s="0" t="n">
        <v>1.334</v>
      </c>
      <c r="BW84" s="0" t="n">
        <v>3.853</v>
      </c>
    </row>
    <row r="85" customFormat="false" ht="15" hidden="false" customHeight="false" outlineLevel="0" collapsed="false">
      <c r="BT85" s="0" t="n">
        <v>16.4</v>
      </c>
      <c r="BU85" s="0" t="n">
        <v>5.323</v>
      </c>
      <c r="BV85" s="0" t="n">
        <v>1.351</v>
      </c>
      <c r="BW85" s="0" t="n">
        <v>3.843</v>
      </c>
    </row>
    <row r="86" customFormat="false" ht="15" hidden="false" customHeight="false" outlineLevel="0" collapsed="false">
      <c r="BT86" s="0" t="n">
        <v>16.6</v>
      </c>
      <c r="BU86" s="0" t="n">
        <v>5.326</v>
      </c>
      <c r="BV86" s="0" t="n">
        <v>1.341</v>
      </c>
      <c r="BW86" s="0" t="n">
        <v>3.853</v>
      </c>
    </row>
    <row r="87" customFormat="false" ht="15" hidden="false" customHeight="false" outlineLevel="0" collapsed="false">
      <c r="BT87" s="0" t="n">
        <v>16.8</v>
      </c>
      <c r="BU87" s="0" t="n">
        <v>5.321</v>
      </c>
      <c r="BV87" s="0" t="n">
        <v>1.324</v>
      </c>
      <c r="BW87" s="0" t="n">
        <v>3.865</v>
      </c>
    </row>
    <row r="88" customFormat="false" ht="15" hidden="false" customHeight="false" outlineLevel="0" collapsed="false">
      <c r="BT88" s="0" t="n">
        <v>17</v>
      </c>
      <c r="BU88" s="0" t="n">
        <v>5.328</v>
      </c>
      <c r="BV88" s="0" t="n">
        <v>1.344</v>
      </c>
      <c r="BW88" s="0" t="n">
        <v>3.855</v>
      </c>
    </row>
    <row r="89" customFormat="false" ht="15" hidden="false" customHeight="false" outlineLevel="0" collapsed="false">
      <c r="BT89" s="0" t="n">
        <v>17.2</v>
      </c>
      <c r="BU89" s="0" t="n">
        <v>5.329</v>
      </c>
      <c r="BV89" s="0" t="n">
        <v>1.345</v>
      </c>
      <c r="BW89" s="0" t="n">
        <v>3.855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2026-10-23T08:49:39Z</dcterms:created>
  <dc:creator>openpyxl</dc:creator>
  <dc:description/>
  <dc:language>en-US</dc:language>
  <cp:lastModifiedBy/>
  <dcterms:modified xsi:type="dcterms:W3CDTF">2026-10-23T10:49:44Z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